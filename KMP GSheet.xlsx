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ing Marketing" sheetId="1" r:id="rId4"/>
    <sheet state="visible" name="Tracking PT Sreeya Sewu Balaraj" sheetId="2" r:id="rId5"/>
    <sheet state="visible" name="Tracking PT Sreeya Sewu" sheetId="3" r:id="rId6"/>
    <sheet state="visible" name="Tracking PT Dinamika Megatama C" sheetId="4" r:id="rId7"/>
    <sheet state="visible" name="Tracking PT Matahari Sakti" sheetId="5" r:id="rId8"/>
    <sheet state="visible" name="Tracking CJ Serang" sheetId="6" r:id="rId9"/>
    <sheet state="visible" name="Tracking CJ Jateng" sheetId="7" r:id="rId10"/>
    <sheet state="visible" name="Tracking PT CJ  Jombang" sheetId="8" r:id="rId11"/>
    <sheet state="visible" name="Tracking PT Central Proteina Pr" sheetId="9" r:id="rId12"/>
    <sheet state="visible" name="Tracking PT Charoen Pokphand Kr" sheetId="10" r:id="rId13"/>
    <sheet state="visible" name="Tracking PT Charoen Pokphand Ja" sheetId="11" r:id="rId14"/>
    <sheet state="visible" name="Tracking PT Haida Agriculture" sheetId="12" r:id="rId15"/>
    <sheet state="visible" name="Tracking PT Cargill" sheetId="13" r:id="rId16"/>
    <sheet state="visible" name="Sari Rosa" sheetId="14" r:id="rId17"/>
  </sheets>
  <definedNames/>
  <calcPr/>
</workbook>
</file>

<file path=xl/sharedStrings.xml><?xml version="1.0" encoding="utf-8"?>
<sst xmlns="http://schemas.openxmlformats.org/spreadsheetml/2006/main" count="1148" uniqueCount="210">
  <si>
    <t>No</t>
  </si>
  <si>
    <t>Bahan Baku</t>
  </si>
  <si>
    <t>PT Sreya Sewu</t>
  </si>
  <si>
    <t xml:space="preserve">PT Central Proteina </t>
  </si>
  <si>
    <t>CJ Feed</t>
  </si>
  <si>
    <t>PT Charoen Pokpahand Indonesia</t>
  </si>
  <si>
    <t>PT. Dinamika Megatama Citra</t>
  </si>
  <si>
    <t>PT Haida</t>
  </si>
  <si>
    <t>PT Cargill</t>
  </si>
  <si>
    <t>PT Matahari Sakti</t>
  </si>
  <si>
    <t>PT New Hope</t>
  </si>
  <si>
    <t>PT Wonokoyo</t>
  </si>
  <si>
    <t>PT Japfa</t>
  </si>
  <si>
    <t>PT Thai Union</t>
  </si>
  <si>
    <t>PT De Heus</t>
  </si>
  <si>
    <t>PT CPgP</t>
  </si>
  <si>
    <t>PT Evergreen</t>
  </si>
  <si>
    <t>PT East Hope</t>
  </si>
  <si>
    <t>PT. Malindo</t>
  </si>
  <si>
    <t>PT. Havindo</t>
  </si>
  <si>
    <t>PT. Panca Patriot Prima</t>
  </si>
  <si>
    <t>PT Sido Agung Farm</t>
  </si>
  <si>
    <t>PT Gold Coin</t>
  </si>
  <si>
    <t>PT Mulia Harvest</t>
  </si>
  <si>
    <t>Sidoarjo</t>
  </si>
  <si>
    <t>Balaraja</t>
  </si>
  <si>
    <t>Dupak</t>
  </si>
  <si>
    <t>Sepanjang</t>
  </si>
  <si>
    <t>Jombang</t>
  </si>
  <si>
    <t>Semarang</t>
  </si>
  <si>
    <t>Serang</t>
  </si>
  <si>
    <t>Pasuruan</t>
  </si>
  <si>
    <t>Margomulyo</t>
  </si>
  <si>
    <t>Sidoajo</t>
  </si>
  <si>
    <t>Mojosari</t>
  </si>
  <si>
    <t>Jawa Timur</t>
  </si>
  <si>
    <t>Cikande</t>
  </si>
  <si>
    <t>Grobogan</t>
  </si>
  <si>
    <t>Lamongan</t>
  </si>
  <si>
    <t>Jakarta</t>
  </si>
  <si>
    <t>Cikampek</t>
  </si>
  <si>
    <t>Gresik</t>
  </si>
  <si>
    <t>Magelang</t>
  </si>
  <si>
    <t>Post</t>
  </si>
  <si>
    <t>Present</t>
  </si>
  <si>
    <t>Cause</t>
  </si>
  <si>
    <t>Mie Kuning</t>
  </si>
  <si>
    <t>Ready</t>
  </si>
  <si>
    <t>Confirmed</t>
  </si>
  <si>
    <t>Negotiate</t>
  </si>
  <si>
    <t>Mie Merah</t>
  </si>
  <si>
    <t>Not Reasonable Price</t>
  </si>
  <si>
    <t>Not Updated Yet</t>
  </si>
  <si>
    <t>Tepung Biskuit</t>
  </si>
  <si>
    <t>Po's Closed</t>
  </si>
  <si>
    <t>Not used</t>
  </si>
  <si>
    <t>Sedang musim Panen jagung. harga jagung tidak mahal</t>
  </si>
  <si>
    <t>Sample Sent!</t>
  </si>
  <si>
    <t>Not Qualified Raw</t>
  </si>
  <si>
    <t>Kondisi Pabrik Hold</t>
  </si>
  <si>
    <t>Belum ada respon sama sekali</t>
  </si>
  <si>
    <t>Katul</t>
  </si>
  <si>
    <t>Terdapat 37 Vendor</t>
  </si>
  <si>
    <t>Harga 3300, margin hanya 11%. pembayaran lebih dari 3bulan</t>
  </si>
  <si>
    <t>Ambil dari Pabrik di Makasar</t>
  </si>
  <si>
    <t>Bone Meal</t>
  </si>
  <si>
    <t>margin 3%, seharusnya minimal 7%</t>
  </si>
  <si>
    <t>Pabrik Belum Mau menerima</t>
  </si>
  <si>
    <t xml:space="preserve">CFM/FTM </t>
  </si>
  <si>
    <t>Garam</t>
  </si>
  <si>
    <t>Sedang mencari Spesifikasi yang sesuai</t>
  </si>
  <si>
    <t>harga PO 2500. harga supplier di 2525</t>
  </si>
  <si>
    <t>Molases</t>
  </si>
  <si>
    <t>SHM</t>
  </si>
  <si>
    <t>Protein 40 up</t>
  </si>
  <si>
    <t>DSS</t>
  </si>
  <si>
    <t>Menir</t>
  </si>
  <si>
    <t>Copra</t>
  </si>
  <si>
    <t>Factory No Need Yet</t>
  </si>
  <si>
    <t>PKD (Palm Kernel Dehulized )</t>
  </si>
  <si>
    <t>Hold</t>
  </si>
  <si>
    <t>Biji Batu</t>
  </si>
  <si>
    <t>Tepung Batu</t>
  </si>
  <si>
    <t>PKM</t>
  </si>
  <si>
    <t>Corn Gem</t>
  </si>
  <si>
    <t>Cangkang Kemiri</t>
  </si>
  <si>
    <t>Didn't Have Supplier</t>
  </si>
  <si>
    <t>Tepung Gaplek</t>
  </si>
  <si>
    <t>Kebi</t>
  </si>
  <si>
    <t>Belum menemukan supplier yang sesuai</t>
  </si>
  <si>
    <t>Fish Meal</t>
  </si>
  <si>
    <t>MBM (Meat Bone Meal)</t>
  </si>
  <si>
    <t>Import</t>
  </si>
  <si>
    <t>Impor</t>
  </si>
  <si>
    <t>Poultry Meal</t>
  </si>
  <si>
    <t>Gaplek Chip</t>
  </si>
  <si>
    <t>harga di 4000</t>
  </si>
  <si>
    <t>Kepala Udang Utuh</t>
  </si>
  <si>
    <t>Tepung Roti/Bread  Waste</t>
  </si>
  <si>
    <t>Menunggu kabar Pak Widodo</t>
  </si>
  <si>
    <t>SG (Sekam Giling)</t>
  </si>
  <si>
    <t>Bran Gluten Feed (BGF)</t>
  </si>
  <si>
    <t>CGM</t>
  </si>
  <si>
    <t>CGF</t>
  </si>
  <si>
    <t>belum bisa minta PO karena CPI order langsung dari pabrik</t>
  </si>
  <si>
    <t>Tepung Industri</t>
  </si>
  <si>
    <t>CPO</t>
  </si>
  <si>
    <t>Ampok</t>
  </si>
  <si>
    <t>Marketing</t>
  </si>
  <si>
    <t>Purchasing</t>
  </si>
  <si>
    <t>Pabrik</t>
  </si>
  <si>
    <t>Barang</t>
  </si>
  <si>
    <t>Sisa PO</t>
  </si>
  <si>
    <t>Total (Rupiah)</t>
  </si>
  <si>
    <t>Sreeya</t>
  </si>
  <si>
    <t>Bone meal</t>
  </si>
  <si>
    <t>Total Outstanding PO Keseluruhan</t>
  </si>
  <si>
    <t>Target Mingguan</t>
  </si>
  <si>
    <t>Target Bulanan</t>
  </si>
  <si>
    <t>Corn Germ</t>
  </si>
  <si>
    <t>Total (Rupiah) Jumlah Pengiriman 
(15 MARET 2025)</t>
  </si>
  <si>
    <t>SISA PO (15 MARET 2025)</t>
  </si>
  <si>
    <t>Capaian Omset Mingguan</t>
  </si>
  <si>
    <t>Sreeya Balaraja</t>
  </si>
  <si>
    <t>FTM</t>
  </si>
  <si>
    <t>DMC</t>
  </si>
  <si>
    <t xml:space="preserve">Kebi </t>
  </si>
  <si>
    <t>PKD</t>
  </si>
  <si>
    <t>Capaian Omset Bulanan (%)</t>
  </si>
  <si>
    <t>CJ Serang</t>
  </si>
  <si>
    <t>Biskuit</t>
  </si>
  <si>
    <t>CJ Jateng</t>
  </si>
  <si>
    <t>CJ Jombang</t>
  </si>
  <si>
    <t>CFM</t>
  </si>
  <si>
    <t>Total Outstanding PO Keseluruhan (APRIL)</t>
  </si>
  <si>
    <t>CPP</t>
  </si>
  <si>
    <t>Total (Rupiah) Jumlah Pengiriman 
(April)</t>
  </si>
  <si>
    <t>SISA PO (April)</t>
  </si>
  <si>
    <t>CPI</t>
  </si>
  <si>
    <t>Haida</t>
  </si>
  <si>
    <t>Matahari Sakti</t>
  </si>
  <si>
    <t>Cargill</t>
  </si>
  <si>
    <t>Bread Waste</t>
  </si>
  <si>
    <t>Sari Rosa</t>
  </si>
  <si>
    <t>Mie</t>
  </si>
  <si>
    <t>SISA PO SREEYA Balaraja</t>
  </si>
  <si>
    <t>No PO</t>
  </si>
  <si>
    <t>Tanggal</t>
  </si>
  <si>
    <t>Nama Bahan</t>
  </si>
  <si>
    <t xml:space="preserve">Jumlah PO </t>
  </si>
  <si>
    <t>Jumlah Dikirim</t>
  </si>
  <si>
    <t>Harga</t>
  </si>
  <si>
    <t>Total (Rupiah) Jumlah Dikirim</t>
  </si>
  <si>
    <t>Total (Rupiah) Sisa PO</t>
  </si>
  <si>
    <t>Status</t>
  </si>
  <si>
    <t>po25000635</t>
  </si>
  <si>
    <t>po25000631</t>
  </si>
  <si>
    <t>PO25000949</t>
  </si>
  <si>
    <t>SISA PO SREEYA</t>
  </si>
  <si>
    <t>Total (Rupiah) PO Terkirim</t>
  </si>
  <si>
    <t>po25000612</t>
  </si>
  <si>
    <t>po25000413</t>
  </si>
  <si>
    <t>po25000619</t>
  </si>
  <si>
    <t>po25000346</t>
  </si>
  <si>
    <t>po25000215</t>
  </si>
  <si>
    <t>PO25001014</t>
  </si>
  <si>
    <t>PO25001068</t>
  </si>
  <si>
    <t>PO25001101</t>
  </si>
  <si>
    <t>PO25001304</t>
  </si>
  <si>
    <t>Tepung Mie</t>
  </si>
  <si>
    <t>PO25001305</t>
  </si>
  <si>
    <t>PO25001308</t>
  </si>
  <si>
    <t>SISA PO DMC</t>
  </si>
  <si>
    <t>Total (Rupiah) Jumlah Pengiriman</t>
  </si>
  <si>
    <t>po25001326</t>
  </si>
  <si>
    <t>po25001855</t>
  </si>
  <si>
    <t>po25001856</t>
  </si>
  <si>
    <t>PKD (Palm Kernel Dehulized)</t>
  </si>
  <si>
    <t>PO MS</t>
  </si>
  <si>
    <t xml:space="preserve">Total (Rupiah) Jumlah Dikirim </t>
  </si>
  <si>
    <t>PO-250400314</t>
  </si>
  <si>
    <t>PO-250400470</t>
  </si>
  <si>
    <t>PO-250500340</t>
  </si>
  <si>
    <t>SISA PO CJ Serang</t>
  </si>
  <si>
    <t>SISA PO CJ Jateng</t>
  </si>
  <si>
    <t>SISA PO CJ Jombang</t>
  </si>
  <si>
    <t>Suplier</t>
  </si>
  <si>
    <t>Pembagian PO</t>
  </si>
  <si>
    <t>Harga Supplier</t>
  </si>
  <si>
    <t>Harga Jual</t>
  </si>
  <si>
    <t>Persentase</t>
  </si>
  <si>
    <t>Total</t>
  </si>
  <si>
    <t>Pak Tris</t>
  </si>
  <si>
    <t>Pak Pri</t>
  </si>
  <si>
    <t>Total PO</t>
  </si>
  <si>
    <t>75/25</t>
  </si>
  <si>
    <t>50/50</t>
  </si>
  <si>
    <t>SISA PO CPP Maret</t>
  </si>
  <si>
    <t>Total (Rupiah) Jumalah Pengiriman</t>
  </si>
  <si>
    <t>SISA PO CPI Krian</t>
  </si>
  <si>
    <t>Total Rupiah Jumlah Pengiriman</t>
  </si>
  <si>
    <t>SISA PO CPI Jateng</t>
  </si>
  <si>
    <t>SISA PO Haida</t>
  </si>
  <si>
    <t>HD20250225287</t>
  </si>
  <si>
    <t>HD20250207189</t>
  </si>
  <si>
    <t>SISA PO Haida April</t>
  </si>
  <si>
    <t>HD20250409463</t>
  </si>
  <si>
    <t>HD20250516618</t>
  </si>
  <si>
    <t>SISA PO Cargill</t>
  </si>
  <si>
    <t>SISA PO Sari Rosa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</si>
</sst>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p]#,##0"/>
    <numFmt numFmtId="165" formatCode="M/d/yyyy"/>
  </numFmts>
  <fonts count="22">
    <font>
      <sz val="10.0"/>
      <color rgb="FF000000"/>
      <name val="Arial"/>
      <scheme val="minor"/>
    </font>
    <font>
      <color theme="1"/>
      <name val="Arial"/>
      <scheme val="minor"/>
    </font>
    <font>
      <b/>
      <color theme="1"/>
      <name val="Arial"/>
      <scheme val="minor"/>
    </font>
    <font/>
    <font>
      <b/>
      <color theme="1"/>
      <name val="Arial"/>
    </font>
    <font>
      <color theme="1"/>
      <name val="Arial"/>
    </font>
    <font>
      <sz val="10.0"/>
      <color theme="1"/>
      <name val="Arial"/>
    </font>
    <font>
      <color theme="0"/>
      <name val="Arial"/>
      <scheme val="minor"/>
    </font>
    <font>
      <color rgb="FFFFFFFF"/>
      <name val="Arial"/>
      <scheme val="minor"/>
    </font>
    <font>
      <b/>
      <sz val="21.0"/>
      <color theme="1"/>
      <name val="Arial"/>
      <scheme val="minor"/>
    </font>
    <font>
      <b/>
      <sz val="22.0"/>
      <color theme="1"/>
      <name val="Arial"/>
      <scheme val="minor"/>
    </font>
    <font>
      <b/>
      <sz val="34.0"/>
      <color rgb="FF93C47D"/>
      <name val="Arial"/>
      <scheme val="minor"/>
    </font>
    <font>
      <b/>
      <sz val="15.0"/>
      <color theme="1"/>
      <name val="Arial"/>
      <scheme val="minor"/>
    </font>
    <font>
      <b/>
      <sz val="18.0"/>
      <color theme="1"/>
      <name val="Arial"/>
      <scheme val="minor"/>
    </font>
    <font>
      <b/>
      <sz val="26.0"/>
      <color theme="1"/>
      <name val="Arial"/>
      <scheme val="minor"/>
    </font>
    <font>
      <color rgb="FF93C47D"/>
      <name val="Arial"/>
      <scheme val="minor"/>
    </font>
    <font>
      <b/>
      <sz val="11.0"/>
      <color theme="1"/>
      <name val="Calibri"/>
    </font>
    <font>
      <b/>
      <sz val="11.0"/>
      <color theme="1"/>
      <name val="Arial"/>
      <scheme val="minor"/>
    </font>
    <font>
      <color rgb="FF000000"/>
      <name val="Arial"/>
      <scheme val="minor"/>
    </font>
    <font>
      <color rgb="FF38761D"/>
      <name val="Arial"/>
    </font>
    <font>
      <sz val="11.0"/>
      <color theme="1"/>
      <name val="Arial"/>
      <scheme val="minor"/>
    </font>
    <font>
      <b/>
      <sz val="11.0"/>
      <color theme="1"/>
      <name val="Arial"/>
    </font>
  </fonts>
  <fills count="22">
    <fill>
      <patternFill patternType="none"/>
    </fill>
    <fill>
      <patternFill patternType="lightGray"/>
    </fill>
    <fill>
      <patternFill patternType="solid">
        <fgColor rgb="FF9FC5E8"/>
        <bgColor rgb="FF9FC5E8"/>
      </patternFill>
    </fill>
    <fill>
      <patternFill patternType="solid">
        <fgColor rgb="FFD9D9D9"/>
        <bgColor rgb="FFD9D9D9"/>
      </patternFill>
    </fill>
    <fill>
      <patternFill patternType="solid">
        <fgColor rgb="FFD9EAD3"/>
        <bgColor rgb="FFD9EAD3"/>
      </patternFill>
    </fill>
    <fill>
      <patternFill patternType="solid">
        <fgColor rgb="FFCFE2F3"/>
        <bgColor rgb="FFCFE2F3"/>
      </patternFill>
    </fill>
    <fill>
      <patternFill patternType="solid">
        <fgColor rgb="FF783F04"/>
        <bgColor rgb="FF783F04"/>
      </patternFill>
    </fill>
    <fill>
      <patternFill patternType="solid">
        <fgColor rgb="FFCC0000"/>
        <bgColor rgb="FFCC0000"/>
      </patternFill>
    </fill>
    <fill>
      <patternFill patternType="solid">
        <fgColor theme="7"/>
        <bgColor theme="7"/>
      </patternFill>
    </fill>
    <fill>
      <patternFill patternType="solid">
        <fgColor rgb="FFFFE599"/>
        <bgColor rgb="FFFFE599"/>
      </patternFill>
    </fill>
    <fill>
      <patternFill patternType="solid">
        <fgColor rgb="FF434343"/>
        <bgColor rgb="FF434343"/>
      </patternFill>
    </fill>
    <fill>
      <patternFill patternType="solid">
        <fgColor rgb="FF4A86E8"/>
        <bgColor rgb="FF4A86E8"/>
      </patternFill>
    </fill>
    <fill>
      <patternFill patternType="solid">
        <fgColor rgb="FFFFFFFF"/>
        <bgColor rgb="FFFFFFFF"/>
      </patternFill>
    </fill>
    <fill>
      <patternFill patternType="solid">
        <fgColor theme="0"/>
        <bgColor theme="0"/>
      </patternFill>
    </fill>
    <fill>
      <patternFill patternType="solid">
        <fgColor rgb="FF63D297"/>
        <bgColor rgb="FF63D297"/>
      </patternFill>
    </fill>
    <fill>
      <patternFill patternType="solid">
        <fgColor rgb="FFE7F9EF"/>
        <bgColor rgb="FFE7F9EF"/>
      </patternFill>
    </fill>
    <fill>
      <patternFill patternType="solid">
        <fgColor rgb="FF4DD0E1"/>
        <bgColor rgb="FF4DD0E1"/>
      </patternFill>
    </fill>
    <fill>
      <patternFill patternType="solid">
        <fgColor rgb="FFE0F7FA"/>
        <bgColor rgb="FFE0F7FA"/>
      </patternFill>
    </fill>
    <fill>
      <patternFill patternType="solid">
        <fgColor rgb="FFF7CB4D"/>
        <bgColor rgb="FFF7CB4D"/>
      </patternFill>
    </fill>
    <fill>
      <patternFill patternType="solid">
        <fgColor rgb="FFFEF8E3"/>
        <bgColor rgb="FFFEF8E3"/>
      </patternFill>
    </fill>
    <fill>
      <patternFill patternType="solid">
        <fgColor rgb="FFBDBDBD"/>
        <bgColor rgb="FFBDBDBD"/>
      </patternFill>
    </fill>
    <fill>
      <patternFill patternType="solid">
        <fgColor rgb="FFF3F3F3"/>
        <bgColor rgb="FFF3F3F3"/>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2" numFmtId="0" xfId="0" applyAlignment="1" applyBorder="1" applyFont="1">
      <alignment horizontal="center" readingOrder="0" vertical="center"/>
    </xf>
    <xf borderId="3" fillId="0" fontId="3" numFmtId="0" xfId="0" applyBorder="1" applyFont="1"/>
    <xf borderId="4" fillId="0" fontId="3" numFmtId="0" xfId="0" applyBorder="1" applyFont="1"/>
    <xf borderId="3" fillId="2" fontId="2" numFmtId="0" xfId="0" applyAlignment="1" applyBorder="1" applyFont="1">
      <alignment horizontal="center" readingOrder="0" vertical="center"/>
    </xf>
    <xf borderId="2" fillId="2" fontId="4" numFmtId="0" xfId="0" applyAlignment="1" applyBorder="1" applyFont="1">
      <alignment horizontal="center" readingOrder="0"/>
    </xf>
    <xf borderId="5" fillId="0" fontId="3" numFmtId="0" xfId="0" applyBorder="1" applyFont="1"/>
    <xf borderId="2" fillId="2" fontId="1" numFmtId="0" xfId="0" applyAlignment="1" applyBorder="1" applyFont="1">
      <alignment horizontal="center" readingOrder="0" vertical="center"/>
    </xf>
    <xf borderId="6" fillId="2" fontId="1" numFmtId="0" xfId="0" applyAlignment="1" applyBorder="1" applyFont="1">
      <alignment horizontal="center" readingOrder="0" vertical="center"/>
    </xf>
    <xf borderId="7" fillId="0" fontId="3" numFmtId="0" xfId="0" applyBorder="1" applyFont="1"/>
    <xf borderId="8" fillId="0" fontId="3" numFmtId="0" xfId="0" applyBorder="1" applyFont="1"/>
    <xf borderId="2" fillId="2" fontId="5" numFmtId="0" xfId="0" applyAlignment="1" applyBorder="1" applyFont="1">
      <alignment horizontal="center" readingOrder="0"/>
    </xf>
    <xf borderId="2" fillId="2" fontId="5" numFmtId="0" xfId="0" applyAlignment="1" applyBorder="1" applyFont="1">
      <alignment horizontal="center"/>
    </xf>
    <xf borderId="9" fillId="0" fontId="3" numFmtId="0" xfId="0" applyBorder="1" applyFont="1"/>
    <xf borderId="10" fillId="2" fontId="1" numFmtId="0" xfId="0" applyAlignment="1" applyBorder="1" applyFont="1">
      <alignment horizontal="center" readingOrder="0" vertical="center"/>
    </xf>
    <xf borderId="10" fillId="2" fontId="5" numFmtId="0" xfId="0" applyAlignment="1" applyBorder="1" applyFont="1">
      <alignment horizontal="center"/>
    </xf>
    <xf borderId="0" fillId="3" fontId="6" numFmtId="0" xfId="0" applyAlignment="1" applyFill="1" applyFont="1">
      <alignment horizontal="left" readingOrder="0"/>
    </xf>
    <xf borderId="10" fillId="3" fontId="1" numFmtId="0" xfId="0" applyAlignment="1" applyBorder="1" applyFont="1">
      <alignment readingOrder="0"/>
    </xf>
    <xf borderId="10" fillId="3" fontId="1" numFmtId="0" xfId="0" applyBorder="1" applyFont="1"/>
    <xf borderId="10" fillId="3" fontId="5" numFmtId="0" xfId="0" applyAlignment="1" applyBorder="1" applyFont="1">
      <alignment horizontal="center" readingOrder="0"/>
    </xf>
    <xf borderId="10" fillId="3" fontId="5" numFmtId="0" xfId="0" applyAlignment="1" applyBorder="1" applyFont="1">
      <alignment vertical="bottom"/>
    </xf>
    <xf borderId="10" fillId="4" fontId="1" numFmtId="0" xfId="0" applyAlignment="1" applyBorder="1" applyFill="1" applyFont="1">
      <alignment readingOrder="0"/>
    </xf>
    <xf borderId="10" fillId="4" fontId="1" numFmtId="0" xfId="0" applyBorder="1" applyFont="1"/>
    <xf borderId="10" fillId="4" fontId="5" numFmtId="0" xfId="0" applyAlignment="1" applyBorder="1" applyFont="1">
      <alignment horizontal="center"/>
    </xf>
    <xf borderId="10" fillId="4" fontId="5" numFmtId="0" xfId="0" applyAlignment="1" applyBorder="1" applyFont="1">
      <alignment vertical="bottom"/>
    </xf>
    <xf borderId="10" fillId="3" fontId="1" numFmtId="0" xfId="0" applyAlignment="1" applyBorder="1" applyFont="1">
      <alignment readingOrder="0" shrinkToFit="0" wrapText="1"/>
    </xf>
    <xf borderId="10" fillId="3" fontId="5" numFmtId="0" xfId="0" applyAlignment="1" applyBorder="1" applyFont="1">
      <alignment vertical="bottom"/>
    </xf>
    <xf borderId="10" fillId="4" fontId="1" numFmtId="0" xfId="0" applyAlignment="1" applyBorder="1" applyFont="1">
      <alignment readingOrder="0" shrinkToFit="0" wrapText="1"/>
    </xf>
    <xf borderId="10" fillId="4" fontId="5" numFmtId="0" xfId="0" applyAlignment="1" applyBorder="1" applyFont="1">
      <alignment horizontal="center" readingOrder="0"/>
    </xf>
    <xf borderId="10" fillId="3" fontId="5" numFmtId="0" xfId="0" applyAlignment="1" applyBorder="1" applyFont="1">
      <alignment readingOrder="0" vertical="bottom"/>
    </xf>
    <xf borderId="10" fillId="3" fontId="5" numFmtId="0" xfId="0" applyAlignment="1" applyBorder="1" applyFont="1">
      <alignment horizontal="center"/>
    </xf>
    <xf borderId="10" fillId="4" fontId="5" numFmtId="0" xfId="0" applyAlignment="1" applyBorder="1" applyFont="1">
      <alignment horizontal="center"/>
    </xf>
    <xf borderId="10" fillId="4" fontId="5" numFmtId="0" xfId="0" applyAlignment="1" applyBorder="1" applyFont="1">
      <alignment vertical="bottom"/>
    </xf>
    <xf borderId="10" fillId="3" fontId="5" numFmtId="0" xfId="0" applyAlignment="1" applyBorder="1" applyFont="1">
      <alignment horizontal="center"/>
    </xf>
    <xf borderId="0" fillId="5" fontId="1" numFmtId="0" xfId="0" applyAlignment="1" applyFill="1" applyFont="1">
      <alignment readingOrder="0"/>
    </xf>
    <xf borderId="0" fillId="6" fontId="7" numFmtId="0" xfId="0" applyAlignment="1" applyFill="1" applyFont="1">
      <alignment readingOrder="0"/>
    </xf>
    <xf borderId="0" fillId="7" fontId="7" numFmtId="0" xfId="0" applyAlignment="1" applyFill="1" applyFont="1">
      <alignment readingOrder="0"/>
    </xf>
    <xf borderId="0" fillId="8" fontId="8" numFmtId="0" xfId="0" applyAlignment="1" applyFill="1" applyFont="1">
      <alignment readingOrder="0"/>
    </xf>
    <xf borderId="0" fillId="0" fontId="2" numFmtId="0" xfId="0" applyAlignment="1" applyFont="1">
      <alignment horizontal="center" readingOrder="0"/>
    </xf>
    <xf borderId="0" fillId="9" fontId="1" numFmtId="0" xfId="0" applyAlignment="1" applyFill="1" applyFont="1">
      <alignment readingOrder="0"/>
    </xf>
    <xf borderId="0" fillId="10" fontId="7" numFmtId="0" xfId="0" applyAlignment="1" applyFill="1" applyFont="1">
      <alignment readingOrder="0"/>
    </xf>
    <xf borderId="0" fillId="11" fontId="7" numFmtId="0" xfId="0" applyAlignment="1" applyFill="1" applyFont="1">
      <alignment readingOrder="0"/>
    </xf>
    <xf borderId="0" fillId="0" fontId="1" numFmtId="0" xfId="0" applyAlignment="1" applyFont="1">
      <alignment horizontal="center" readingOrder="0" shrinkToFit="0" vertical="center" wrapText="1"/>
    </xf>
    <xf borderId="0" fillId="12" fontId="1" numFmtId="0" xfId="0" applyFill="1" applyFont="1"/>
    <xf borderId="0" fillId="0" fontId="2" numFmtId="0" xfId="0" applyAlignment="1" applyFont="1">
      <alignment horizontal="center" readingOrder="0" vertical="center"/>
    </xf>
    <xf borderId="0" fillId="0" fontId="1" numFmtId="0" xfId="0" applyAlignment="1" applyFont="1">
      <alignment horizontal="center" readingOrder="0" vertical="center"/>
    </xf>
    <xf borderId="0" fillId="13" fontId="2" numFmtId="0" xfId="0" applyAlignment="1" applyFill="1" applyFont="1">
      <alignment horizontal="center" readingOrder="0" vertical="center"/>
    </xf>
    <xf borderId="0" fillId="13" fontId="1" numFmtId="0" xfId="0" applyFont="1"/>
    <xf borderId="10" fillId="14" fontId="1" numFmtId="0" xfId="0" applyAlignment="1" applyBorder="1" applyFill="1" applyFont="1">
      <alignment readingOrder="0"/>
    </xf>
    <xf borderId="0" fillId="14" fontId="1" numFmtId="0" xfId="0" applyAlignment="1" applyFont="1">
      <alignment readingOrder="0"/>
    </xf>
    <xf borderId="1" fillId="12" fontId="1" numFmtId="0" xfId="0" applyAlignment="1" applyBorder="1" applyFont="1">
      <alignment horizontal="center" readingOrder="0" vertical="center"/>
    </xf>
    <xf borderId="10" fillId="12" fontId="1" numFmtId="0" xfId="0" applyAlignment="1" applyBorder="1" applyFont="1">
      <alignment readingOrder="0"/>
    </xf>
    <xf borderId="10" fillId="12" fontId="1" numFmtId="0" xfId="0" applyBorder="1" applyFont="1"/>
    <xf borderId="10" fillId="12" fontId="1" numFmtId="164" xfId="0" applyBorder="1" applyFont="1" applyNumberFormat="1"/>
    <xf borderId="0" fillId="12" fontId="1" numFmtId="164" xfId="0" applyFont="1" applyNumberFormat="1"/>
    <xf borderId="5" fillId="15" fontId="3" numFmtId="0" xfId="0" applyBorder="1" applyFill="1" applyFont="1"/>
    <xf borderId="10" fillId="15" fontId="1" numFmtId="0" xfId="0" applyAlignment="1" applyBorder="1" applyFont="1">
      <alignment readingOrder="0"/>
    </xf>
    <xf borderId="10" fillId="15" fontId="1" numFmtId="0" xfId="0" applyBorder="1" applyFont="1"/>
    <xf borderId="10" fillId="15" fontId="1" numFmtId="164" xfId="0" applyBorder="1" applyFont="1" applyNumberFormat="1"/>
    <xf borderId="0" fillId="15" fontId="1" numFmtId="0" xfId="0" applyFont="1"/>
    <xf borderId="5" fillId="12" fontId="3" numFmtId="0" xfId="0" applyBorder="1" applyFont="1"/>
    <xf borderId="11" fillId="16" fontId="9" numFmtId="0" xfId="0" applyAlignment="1" applyBorder="1" applyFill="1" applyFont="1">
      <alignment horizontal="center" readingOrder="0" shrinkToFit="0" vertical="center" wrapText="1"/>
    </xf>
    <xf borderId="12" fillId="16" fontId="3" numFmtId="0" xfId="0" applyBorder="1" applyFont="1"/>
    <xf borderId="13" fillId="16" fontId="3" numFmtId="0" xfId="0" applyBorder="1" applyFont="1"/>
    <xf borderId="11" fillId="16" fontId="10" numFmtId="0" xfId="0" applyAlignment="1" applyBorder="1" applyFont="1">
      <alignment horizontal="center" readingOrder="0" shrinkToFit="0" vertical="center" wrapText="1"/>
    </xf>
    <xf borderId="14" fillId="12" fontId="3" numFmtId="0" xfId="0" applyBorder="1" applyFont="1"/>
    <xf borderId="15" fillId="12" fontId="3" numFmtId="0" xfId="0" applyBorder="1" applyFont="1"/>
    <xf borderId="14" fillId="17" fontId="3" numFmtId="0" xfId="0" applyBorder="1" applyFill="1" applyFont="1"/>
    <xf borderId="15" fillId="17" fontId="3" numFmtId="0" xfId="0" applyBorder="1" applyFont="1"/>
    <xf borderId="9" fillId="15" fontId="3" numFmtId="0" xfId="0" applyBorder="1" applyFont="1"/>
    <xf borderId="0" fillId="12" fontId="1" numFmtId="0" xfId="0" applyAlignment="1" applyFont="1">
      <alignment horizontal="center" readingOrder="0" vertical="center"/>
    </xf>
    <xf borderId="6" fillId="17" fontId="3" numFmtId="0" xfId="0" applyBorder="1" applyFont="1"/>
    <xf borderId="7" fillId="17" fontId="3" numFmtId="0" xfId="0" applyBorder="1" applyFont="1"/>
    <xf borderId="8" fillId="17" fontId="3" numFmtId="0" xfId="0" applyBorder="1" applyFont="1"/>
    <xf borderId="0" fillId="12" fontId="1" numFmtId="0" xfId="0" applyAlignment="1" applyFont="1">
      <alignment readingOrder="0"/>
    </xf>
    <xf borderId="11" fillId="12" fontId="11" numFmtId="164" xfId="0" applyAlignment="1" applyBorder="1" applyFont="1" applyNumberFormat="1">
      <alignment horizontal="center" readingOrder="0" shrinkToFit="0" vertical="center" wrapText="1"/>
    </xf>
    <xf borderId="12" fillId="12" fontId="3" numFmtId="0" xfId="0" applyBorder="1" applyFont="1"/>
    <xf borderId="13" fillId="12" fontId="3" numFmtId="0" xfId="0" applyBorder="1" applyFont="1"/>
    <xf borderId="11" fillId="12" fontId="11" numFmtId="164" xfId="0" applyAlignment="1" applyBorder="1" applyFont="1" applyNumberFormat="1">
      <alignment horizontal="center" readingOrder="0" vertical="center"/>
    </xf>
    <xf borderId="0" fillId="0" fontId="1" numFmtId="0" xfId="0" applyAlignment="1" applyFont="1">
      <alignment readingOrder="0"/>
    </xf>
    <xf borderId="6" fillId="12" fontId="3" numFmtId="0" xfId="0" applyBorder="1" applyFont="1"/>
    <xf borderId="7" fillId="12" fontId="3" numFmtId="0" xfId="0" applyBorder="1" applyFont="1"/>
    <xf borderId="8" fillId="12" fontId="3" numFmtId="0" xfId="0" applyBorder="1" applyFont="1"/>
    <xf borderId="11" fillId="18" fontId="12" numFmtId="0" xfId="0" applyAlignment="1" applyBorder="1" applyFill="1" applyFont="1">
      <alignment horizontal="center" readingOrder="0" shrinkToFit="0" vertical="center" wrapText="1"/>
    </xf>
    <xf borderId="12" fillId="18" fontId="3" numFmtId="0" xfId="0" applyBorder="1" applyFont="1"/>
    <xf borderId="13" fillId="18" fontId="3" numFmtId="0" xfId="0" applyBorder="1" applyFont="1"/>
    <xf borderId="11" fillId="18" fontId="13" numFmtId="0" xfId="0" applyAlignment="1" applyBorder="1" applyFont="1">
      <alignment horizontal="center" readingOrder="0" vertical="center"/>
    </xf>
    <xf borderId="11" fillId="18" fontId="9" numFmtId="0" xfId="0" applyAlignment="1" applyBorder="1" applyFont="1">
      <alignment horizontal="center" readingOrder="0" shrinkToFit="0" vertical="center" wrapText="1"/>
    </xf>
    <xf borderId="10" fillId="16" fontId="1" numFmtId="0" xfId="0" applyAlignment="1" applyBorder="1" applyFont="1">
      <alignment readingOrder="0"/>
    </xf>
    <xf borderId="0" fillId="16" fontId="1" numFmtId="0" xfId="0" applyAlignment="1" applyFont="1">
      <alignment readingOrder="0"/>
    </xf>
    <xf borderId="6" fillId="19" fontId="3" numFmtId="0" xfId="0" applyBorder="1" applyFill="1" applyFont="1"/>
    <xf borderId="7" fillId="19" fontId="3" numFmtId="0" xfId="0" applyBorder="1" applyFont="1"/>
    <xf borderId="8" fillId="19" fontId="3" numFmtId="0" xfId="0" applyBorder="1" applyFont="1"/>
    <xf borderId="5" fillId="17" fontId="3" numFmtId="0" xfId="0" applyBorder="1" applyFont="1"/>
    <xf borderId="10" fillId="17" fontId="1" numFmtId="0" xfId="0" applyAlignment="1" applyBorder="1" applyFont="1">
      <alignment readingOrder="0"/>
    </xf>
    <xf borderId="10" fillId="17" fontId="1" numFmtId="0" xfId="0" applyBorder="1" applyFont="1"/>
    <xf borderId="10" fillId="17" fontId="1" numFmtId="164" xfId="0" applyBorder="1" applyFont="1" applyNumberFormat="1"/>
    <xf borderId="11" fillId="13" fontId="11" numFmtId="164" xfId="0" applyAlignment="1" applyBorder="1" applyFont="1" applyNumberFormat="1">
      <alignment horizontal="center" readingOrder="0" vertical="center"/>
    </xf>
    <xf borderId="11" fillId="13" fontId="11" numFmtId="10" xfId="0" applyAlignment="1" applyBorder="1" applyFont="1" applyNumberFormat="1">
      <alignment horizontal="center" readingOrder="0" shrinkToFit="0" vertical="center" wrapText="1"/>
    </xf>
    <xf borderId="9" fillId="12" fontId="3" numFmtId="0" xfId="0" applyBorder="1" applyFont="1"/>
    <xf borderId="14" fillId="19" fontId="3" numFmtId="0" xfId="0" applyBorder="1" applyFont="1"/>
    <xf borderId="15" fillId="19" fontId="3" numFmtId="0" xfId="0" applyBorder="1" applyFont="1"/>
    <xf borderId="10" fillId="20" fontId="1" numFmtId="0" xfId="0" applyAlignment="1" applyBorder="1" applyFill="1" applyFont="1">
      <alignment readingOrder="0"/>
    </xf>
    <xf borderId="0" fillId="20" fontId="1" numFmtId="0" xfId="0" applyAlignment="1" applyFont="1">
      <alignment readingOrder="0"/>
    </xf>
    <xf borderId="5" fillId="21" fontId="3" numFmtId="0" xfId="0" applyBorder="1" applyFill="1" applyFont="1"/>
    <xf borderId="10" fillId="21" fontId="1" numFmtId="0" xfId="0" applyAlignment="1" applyBorder="1" applyFont="1">
      <alignment readingOrder="0"/>
    </xf>
    <xf borderId="10" fillId="21" fontId="1" numFmtId="0" xfId="0" applyBorder="1" applyFont="1"/>
    <xf borderId="10" fillId="21" fontId="1" numFmtId="164" xfId="0" applyBorder="1" applyFont="1" applyNumberFormat="1"/>
    <xf borderId="0" fillId="21" fontId="1" numFmtId="0" xfId="0" applyFont="1"/>
    <xf borderId="11" fillId="4" fontId="14" numFmtId="0" xfId="0" applyAlignment="1" applyBorder="1" applyFont="1">
      <alignment horizontal="center" readingOrder="0" vertical="center"/>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6" fillId="0" fontId="3" numFmtId="0" xfId="0" applyBorder="1" applyFont="1"/>
    <xf borderId="10" fillId="0" fontId="1" numFmtId="0" xfId="0" applyAlignment="1" applyBorder="1" applyFont="1">
      <alignment readingOrder="0"/>
    </xf>
    <xf borderId="0" fillId="12" fontId="1" numFmtId="0" xfId="0" applyAlignment="1" applyFont="1">
      <alignment readingOrder="0"/>
    </xf>
    <xf borderId="11" fillId="0" fontId="11" numFmtId="10" xfId="0" applyAlignment="1" applyBorder="1" applyFont="1" applyNumberFormat="1">
      <alignment horizontal="center" vertical="center"/>
    </xf>
    <xf borderId="10" fillId="0" fontId="1" numFmtId="0" xfId="0" applyAlignment="1" applyBorder="1" applyFont="1">
      <alignment horizontal="center" readingOrder="0" vertical="center"/>
    </xf>
    <xf borderId="10" fillId="0" fontId="1" numFmtId="0" xfId="0" applyBorder="1" applyFont="1"/>
    <xf borderId="10" fillId="0" fontId="1" numFmtId="164" xfId="0" applyBorder="1" applyFont="1" applyNumberFormat="1"/>
    <xf borderId="0" fillId="12" fontId="1" numFmtId="164" xfId="0" applyFont="1" applyNumberFormat="1"/>
    <xf borderId="0" fillId="12" fontId="1" numFmtId="0" xfId="0" applyFont="1"/>
    <xf borderId="0" fillId="12" fontId="5" numFmtId="0" xfId="0" applyAlignment="1" applyFont="1">
      <alignment horizontal="center" readingOrder="0" vertical="center"/>
    </xf>
    <xf borderId="0" fillId="12" fontId="5" numFmtId="0" xfId="0" applyAlignment="1" applyFont="1">
      <alignment vertical="center"/>
    </xf>
    <xf borderId="10" fillId="0" fontId="1" numFmtId="164" xfId="0" applyAlignment="1" applyBorder="1" applyFont="1" applyNumberFormat="1">
      <alignment readingOrder="0"/>
    </xf>
    <xf borderId="0" fillId="12" fontId="1" numFmtId="164" xfId="0" applyAlignment="1" applyFont="1" applyNumberFormat="1">
      <alignment readingOrder="0"/>
    </xf>
    <xf borderId="0" fillId="12" fontId="1" numFmtId="0" xfId="0" applyAlignment="1" applyFont="1">
      <alignment horizontal="center" readingOrder="0" vertical="center"/>
    </xf>
    <xf borderId="0" fillId="12" fontId="5" numFmtId="0" xfId="0" applyAlignment="1" applyFont="1">
      <alignment horizontal="center" vertical="center"/>
    </xf>
    <xf borderId="0" fillId="17" fontId="1" numFmtId="0" xfId="0" applyAlignment="1" applyFont="1">
      <alignment readingOrder="0"/>
    </xf>
    <xf borderId="0" fillId="0" fontId="15" numFmtId="0" xfId="0" applyAlignment="1" applyFont="1">
      <alignment horizontal="center" vertical="center"/>
    </xf>
    <xf borderId="0" fillId="17" fontId="1" numFmtId="164" xfId="0" applyFont="1" applyNumberFormat="1"/>
    <xf borderId="11" fillId="17" fontId="11" numFmtId="164" xfId="0" applyAlignment="1" applyBorder="1" applyFont="1" applyNumberFormat="1">
      <alignment horizontal="center" readingOrder="0" shrinkToFit="0" vertical="center" wrapText="1"/>
    </xf>
    <xf borderId="12" fillId="17" fontId="3" numFmtId="0" xfId="0" applyBorder="1" applyFont="1"/>
    <xf borderId="13" fillId="17" fontId="3" numFmtId="0" xfId="0" applyBorder="1" applyFont="1"/>
    <xf borderId="11" fillId="17" fontId="11" numFmtId="164" xfId="0" applyAlignment="1" applyBorder="1" applyFont="1" applyNumberFormat="1">
      <alignment horizontal="center" readingOrder="0" vertical="center"/>
    </xf>
    <xf borderId="0" fillId="17" fontId="1" numFmtId="0" xfId="0" applyFont="1"/>
    <xf borderId="9" fillId="17" fontId="3" numFmtId="0" xfId="0" applyBorder="1" applyFont="1"/>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11" fillId="13" fontId="11" numFmtId="0" xfId="0" applyAlignment="1" applyBorder="1" applyFont="1">
      <alignment horizontal="center" readingOrder="0" vertical="center"/>
    </xf>
    <xf borderId="10" fillId="0" fontId="16" numFmtId="0" xfId="0" applyAlignment="1" applyBorder="1" applyFont="1">
      <alignment horizontal="center" readingOrder="0" vertical="center"/>
    </xf>
    <xf borderId="10" fillId="0" fontId="17" numFmtId="0" xfId="0" applyAlignment="1" applyBorder="1" applyFont="1">
      <alignment readingOrder="0" vertical="center"/>
    </xf>
    <xf borderId="10" fillId="0" fontId="2" numFmtId="0" xfId="0" applyAlignment="1" applyBorder="1" applyFont="1">
      <alignment readingOrder="0" vertical="center"/>
    </xf>
    <xf borderId="10" fillId="0" fontId="1" numFmtId="165" xfId="0" applyAlignment="1" applyBorder="1" applyFont="1" applyNumberFormat="1">
      <alignment horizontal="center" readingOrder="0" vertical="center"/>
    </xf>
    <xf borderId="10" fillId="0" fontId="1" numFmtId="164" xfId="0" applyAlignment="1" applyBorder="1" applyFont="1" applyNumberFormat="1">
      <alignment horizontal="center" readingOrder="0" vertical="center"/>
    </xf>
    <xf borderId="10" fillId="0" fontId="18" numFmtId="164" xfId="0" applyAlignment="1" applyBorder="1" applyFont="1" applyNumberFormat="1">
      <alignment horizontal="center" vertical="center"/>
    </xf>
    <xf borderId="10" fillId="0" fontId="15" numFmtId="0" xfId="0" applyAlignment="1" applyBorder="1" applyFont="1">
      <alignment horizontal="center" vertical="center"/>
    </xf>
    <xf borderId="10" fillId="12" fontId="1" numFmtId="0" xfId="0" applyAlignment="1" applyBorder="1" applyFont="1">
      <alignment horizontal="center" readingOrder="0" vertical="center"/>
    </xf>
    <xf borderId="10" fillId="0" fontId="18" numFmtId="0" xfId="0" applyAlignment="1" applyBorder="1" applyFont="1">
      <alignment horizontal="center" vertical="center"/>
    </xf>
    <xf borderId="10" fillId="16" fontId="16" numFmtId="0" xfId="0" applyAlignment="1" applyBorder="1" applyFont="1">
      <alignment horizontal="center" readingOrder="0" vertical="center"/>
    </xf>
    <xf borderId="10" fillId="16" fontId="17" numFmtId="0" xfId="0" applyAlignment="1" applyBorder="1" applyFont="1">
      <alignment readingOrder="0" vertical="center"/>
    </xf>
    <xf borderId="10" fillId="16" fontId="2" numFmtId="0" xfId="0" applyAlignment="1" applyBorder="1" applyFont="1">
      <alignment readingOrder="0" vertical="center"/>
    </xf>
    <xf borderId="10" fillId="12" fontId="1" numFmtId="165" xfId="0" applyAlignment="1" applyBorder="1" applyFont="1" applyNumberFormat="1">
      <alignment horizontal="center" readingOrder="0" vertical="center"/>
    </xf>
    <xf borderId="1" fillId="12" fontId="1" numFmtId="164" xfId="0" applyAlignment="1" applyBorder="1" applyFont="1" applyNumberFormat="1">
      <alignment horizontal="center" readingOrder="0" vertical="center"/>
    </xf>
    <xf borderId="10" fillId="12" fontId="18" numFmtId="164" xfId="0" applyAlignment="1" applyBorder="1" applyFont="1" applyNumberFormat="1">
      <alignment horizontal="center" readingOrder="0" vertical="center"/>
    </xf>
    <xf borderId="10" fillId="12" fontId="18" numFmtId="164" xfId="0" applyAlignment="1" applyBorder="1" applyFont="1" applyNumberFormat="1">
      <alignment horizontal="center" vertical="center"/>
    </xf>
    <xf borderId="10" fillId="12" fontId="15" numFmtId="0" xfId="0" applyAlignment="1" applyBorder="1" applyFont="1">
      <alignment horizontal="center" vertical="center"/>
    </xf>
    <xf borderId="10" fillId="17" fontId="1" numFmtId="165" xfId="0" applyAlignment="1" applyBorder="1" applyFont="1" applyNumberFormat="1">
      <alignment horizontal="center" readingOrder="0" vertical="center"/>
    </xf>
    <xf borderId="10" fillId="17" fontId="1" numFmtId="0" xfId="0" applyAlignment="1" applyBorder="1" applyFont="1">
      <alignment horizontal="center" readingOrder="0" vertical="center"/>
    </xf>
    <xf borderId="10" fillId="17" fontId="18" numFmtId="164" xfId="0" applyAlignment="1" applyBorder="1" applyFont="1" applyNumberFormat="1">
      <alignment horizontal="center" readingOrder="0" vertical="center"/>
    </xf>
    <xf borderId="10" fillId="17" fontId="18" numFmtId="164" xfId="0" applyAlignment="1" applyBorder="1" applyFont="1" applyNumberFormat="1">
      <alignment horizontal="center" vertical="center"/>
    </xf>
    <xf borderId="10" fillId="17" fontId="15" numFmtId="0" xfId="0" applyAlignment="1" applyBorder="1" applyFont="1">
      <alignment horizontal="center" vertical="center"/>
    </xf>
    <xf borderId="10" fillId="17" fontId="18" numFmtId="0" xfId="0" applyAlignment="1" applyBorder="1" applyFont="1">
      <alignment horizontal="center" readingOrder="0" vertical="center"/>
    </xf>
    <xf borderId="10" fillId="17" fontId="18" numFmtId="0" xfId="0" applyAlignment="1" applyBorder="1" applyFont="1">
      <alignment horizontal="center" vertical="center"/>
    </xf>
    <xf borderId="10" fillId="12" fontId="18" numFmtId="0" xfId="0" applyAlignment="1" applyBorder="1" applyFont="1">
      <alignment horizontal="center" readingOrder="0" vertical="center"/>
    </xf>
    <xf borderId="10" fillId="12" fontId="18" numFmtId="0" xfId="0" applyAlignment="1" applyBorder="1" applyFont="1">
      <alignment horizontal="center" vertical="center"/>
    </xf>
    <xf borderId="1" fillId="12" fontId="5" numFmtId="0" xfId="0" applyAlignment="1" applyBorder="1" applyFont="1">
      <alignment horizontal="center" readingOrder="0" vertical="center"/>
    </xf>
    <xf borderId="10" fillId="12" fontId="5" numFmtId="0" xfId="0" applyAlignment="1" applyBorder="1" applyFont="1">
      <alignment horizontal="center" readingOrder="0" vertical="center"/>
    </xf>
    <xf borderId="10" fillId="12" fontId="5" numFmtId="0" xfId="0" applyAlignment="1" applyBorder="1" applyFont="1">
      <alignment horizontal="center" vertical="center"/>
    </xf>
    <xf borderId="1" fillId="12" fontId="5" numFmtId="164" xfId="0" applyAlignment="1" applyBorder="1" applyFont="1" applyNumberFormat="1">
      <alignment horizontal="center" readingOrder="0" vertical="center"/>
    </xf>
    <xf borderId="10" fillId="12" fontId="5" numFmtId="164" xfId="0" applyAlignment="1" applyBorder="1" applyFont="1" applyNumberFormat="1">
      <alignment horizontal="center" vertical="center"/>
    </xf>
    <xf borderId="10" fillId="12" fontId="19" numFmtId="0" xfId="0" applyAlignment="1" applyBorder="1" applyFont="1">
      <alignment horizontal="center" vertical="center"/>
    </xf>
    <xf borderId="10" fillId="17" fontId="5" numFmtId="0" xfId="0" applyAlignment="1" applyBorder="1" applyFont="1">
      <alignment vertical="center"/>
    </xf>
    <xf borderId="10" fillId="12" fontId="5" numFmtId="0" xfId="0" applyAlignment="1" applyBorder="1" applyFont="1">
      <alignment vertical="center"/>
    </xf>
    <xf borderId="0" fillId="0" fontId="1" numFmtId="0" xfId="0" applyFont="1"/>
    <xf borderId="0" fillId="0" fontId="20" numFmtId="0" xfId="0" applyAlignment="1" applyFont="1">
      <alignment readingOrder="0"/>
    </xf>
    <xf borderId="10" fillId="16" fontId="17" numFmtId="0" xfId="0" applyAlignment="1" applyBorder="1" applyFont="1">
      <alignment horizontal="center" readingOrder="0" vertical="center"/>
    </xf>
    <xf borderId="10" fillId="16" fontId="2" numFmtId="0" xfId="0" applyAlignment="1" applyBorder="1" applyFont="1">
      <alignment horizontal="center" readingOrder="0" vertical="center"/>
    </xf>
    <xf borderId="1" fillId="12" fontId="1" numFmtId="0" xfId="0" applyAlignment="1" applyBorder="1" applyFont="1">
      <alignment horizontal="center" readingOrder="0" shrinkToFit="0" vertical="center" wrapText="1"/>
    </xf>
    <xf borderId="12" fillId="0" fontId="20" numFmtId="0" xfId="0" applyAlignment="1" applyBorder="1" applyFont="1">
      <alignment readingOrder="0"/>
    </xf>
    <xf borderId="13" fillId="0" fontId="20" numFmtId="0" xfId="0" applyAlignment="1" applyBorder="1" applyFont="1">
      <alignment readingOrder="0"/>
    </xf>
    <xf borderId="10" fillId="16" fontId="16" numFmtId="0" xfId="0" applyAlignment="1" applyBorder="1" applyFont="1">
      <alignment horizontal="center"/>
    </xf>
    <xf borderId="10" fillId="16" fontId="21" numFmtId="0" xfId="0" applyBorder="1" applyFont="1"/>
    <xf borderId="10" fillId="16" fontId="4" numFmtId="0" xfId="0" applyBorder="1" applyFont="1"/>
    <xf borderId="10" fillId="16" fontId="21" numFmtId="0" xfId="0" applyAlignment="1" applyBorder="1" applyFont="1">
      <alignment readingOrder="0"/>
    </xf>
    <xf borderId="15" fillId="0" fontId="20" numFmtId="0" xfId="0" applyAlignment="1" applyBorder="1" applyFont="1">
      <alignment readingOrder="0"/>
    </xf>
    <xf borderId="10" fillId="12" fontId="5" numFmtId="0" xfId="0" applyAlignment="1" applyBorder="1" applyFont="1">
      <alignment horizontal="center"/>
    </xf>
    <xf borderId="10" fillId="12" fontId="5" numFmtId="165" xfId="0" applyAlignment="1" applyBorder="1" applyFont="1" applyNumberFormat="1">
      <alignment horizontal="center" readingOrder="0"/>
    </xf>
    <xf borderId="10" fillId="12" fontId="5" numFmtId="0" xfId="0" applyAlignment="1" applyBorder="1" applyFont="1">
      <alignment horizontal="center" readingOrder="0"/>
    </xf>
    <xf borderId="10" fillId="12" fontId="5" numFmtId="164" xfId="0" applyAlignment="1" applyBorder="1" applyFont="1" applyNumberFormat="1">
      <alignment horizontal="center" readingOrder="0"/>
    </xf>
    <xf borderId="10" fillId="12" fontId="5" numFmtId="164" xfId="0" applyAlignment="1" applyBorder="1" applyFont="1" applyNumberFormat="1">
      <alignment horizontal="center"/>
    </xf>
    <xf borderId="10" fillId="12" fontId="19" numFmtId="0" xfId="0" applyAlignment="1" applyBorder="1" applyFont="1">
      <alignment horizontal="center"/>
    </xf>
    <xf borderId="10" fillId="17" fontId="5" numFmtId="0" xfId="0" applyAlignment="1" applyBorder="1" applyFont="1">
      <alignment horizontal="center"/>
    </xf>
    <xf borderId="10" fillId="17" fontId="5" numFmtId="165" xfId="0" applyAlignment="1" applyBorder="1" applyFont="1" applyNumberFormat="1">
      <alignment horizontal="center" readingOrder="0"/>
    </xf>
    <xf borderId="10" fillId="17" fontId="5" numFmtId="4" xfId="0" applyAlignment="1" applyBorder="1" applyFont="1" applyNumberFormat="1">
      <alignment horizontal="center" readingOrder="0"/>
    </xf>
    <xf borderId="10" fillId="12" fontId="5" numFmtId="4" xfId="0" applyAlignment="1" applyBorder="1" applyFont="1" applyNumberFormat="1">
      <alignment horizontal="center"/>
    </xf>
    <xf borderId="10" fillId="17" fontId="5" numFmtId="164" xfId="0" applyAlignment="1" applyBorder="1" applyFont="1" applyNumberFormat="1">
      <alignment horizontal="center"/>
    </xf>
    <xf borderId="10" fillId="17" fontId="19" numFmtId="0" xfId="0" applyAlignment="1" applyBorder="1" applyFont="1">
      <alignment horizontal="center"/>
    </xf>
    <xf borderId="10" fillId="12" fontId="5" numFmtId="165" xfId="0" applyAlignment="1" applyBorder="1" applyFont="1" applyNumberFormat="1">
      <alignment readingOrder="0"/>
    </xf>
    <xf borderId="10" fillId="12" fontId="5" numFmtId="4" xfId="0" applyAlignment="1" applyBorder="1" applyFont="1" applyNumberFormat="1">
      <alignment horizontal="center" readingOrder="0"/>
    </xf>
    <xf borderId="10" fillId="17" fontId="5" numFmtId="165" xfId="0" applyAlignment="1" applyBorder="1" applyFont="1" applyNumberFormat="1">
      <alignment readingOrder="0"/>
    </xf>
    <xf borderId="10" fillId="17" fontId="5" numFmtId="164" xfId="0" applyBorder="1" applyFont="1" applyNumberFormat="1"/>
    <xf borderId="10" fillId="17" fontId="5" numFmtId="0" xfId="0" applyBorder="1" applyFont="1"/>
    <xf borderId="10" fillId="12" fontId="5" numFmtId="164" xfId="0" applyBorder="1" applyFont="1" applyNumberFormat="1"/>
    <xf borderId="10" fillId="12" fontId="5" numFmtId="0" xfId="0" applyBorder="1" applyFont="1"/>
    <xf borderId="10" fillId="12" fontId="5" numFmtId="0" xfId="0" applyAlignment="1" applyBorder="1" applyFont="1">
      <alignment horizontal="center" vertical="bottom"/>
    </xf>
    <xf borderId="10" fillId="12" fontId="5" numFmtId="165" xfId="0" applyAlignment="1" applyBorder="1" applyFont="1" applyNumberFormat="1">
      <alignment horizontal="right" vertical="bottom"/>
    </xf>
    <xf borderId="10" fillId="12" fontId="5" numFmtId="4" xfId="0" applyAlignment="1" applyBorder="1" applyFont="1" applyNumberFormat="1">
      <alignment horizontal="right" vertical="bottom"/>
    </xf>
    <xf borderId="10" fillId="12" fontId="5" numFmtId="4" xfId="0" applyAlignment="1" applyBorder="1" applyFont="1" applyNumberFormat="1">
      <alignment horizontal="center" vertical="bottom"/>
    </xf>
    <xf borderId="10" fillId="12" fontId="5" numFmtId="164" xfId="0" applyAlignment="1" applyBorder="1" applyFont="1" applyNumberFormat="1">
      <alignment horizontal="center" vertical="bottom"/>
    </xf>
    <xf borderId="10" fillId="12" fontId="5" numFmtId="164" xfId="0" applyAlignment="1" applyBorder="1" applyFont="1" applyNumberFormat="1">
      <alignment horizontal="right" vertical="bottom"/>
    </xf>
    <xf borderId="10" fillId="12" fontId="5" numFmtId="0" xfId="0" applyAlignment="1" applyBorder="1" applyFont="1">
      <alignment vertical="bottom"/>
    </xf>
    <xf borderId="10" fillId="17" fontId="5" numFmtId="0" xfId="0" applyAlignment="1" applyBorder="1" applyFont="1">
      <alignment horizontal="center" vertical="bottom"/>
    </xf>
    <xf borderId="10" fillId="17" fontId="5" numFmtId="165" xfId="0" applyAlignment="1" applyBorder="1" applyFont="1" applyNumberFormat="1">
      <alignment horizontal="right" vertical="bottom"/>
    </xf>
    <xf borderId="10" fillId="17" fontId="5" numFmtId="4" xfId="0" applyAlignment="1" applyBorder="1" applyFont="1" applyNumberFormat="1">
      <alignment horizontal="right" vertical="bottom"/>
    </xf>
    <xf borderId="10" fillId="17" fontId="5" numFmtId="4" xfId="0" applyAlignment="1" applyBorder="1" applyFont="1" applyNumberFormat="1">
      <alignment horizontal="center" vertical="bottom"/>
    </xf>
    <xf borderId="10" fillId="17" fontId="5" numFmtId="164" xfId="0" applyAlignment="1" applyBorder="1" applyFont="1" applyNumberFormat="1">
      <alignment horizontal="center" vertical="bottom"/>
    </xf>
    <xf borderId="10" fillId="17" fontId="5" numFmtId="164" xfId="0" applyAlignment="1" applyBorder="1" applyFont="1" applyNumberFormat="1">
      <alignment horizontal="right" vertical="bottom"/>
    </xf>
    <xf borderId="10" fillId="17" fontId="5" numFmtId="0" xfId="0" applyAlignment="1" applyBorder="1" applyFont="1">
      <alignment vertical="bottom"/>
    </xf>
    <xf borderId="14" fillId="0" fontId="20" numFmtId="0" xfId="0" applyAlignment="1" applyBorder="1" applyFont="1">
      <alignment readingOrder="0"/>
    </xf>
    <xf borderId="10" fillId="17" fontId="5" numFmtId="4" xfId="0" applyAlignment="1" applyBorder="1" applyFont="1" applyNumberFormat="1">
      <alignment readingOrder="0"/>
    </xf>
    <xf borderId="10" fillId="12" fontId="5" numFmtId="4" xfId="0" applyAlignment="1" applyBorder="1" applyFont="1" applyNumberFormat="1">
      <alignment readingOrder="0"/>
    </xf>
    <xf borderId="6" fillId="0" fontId="20" numFmtId="0" xfId="0" applyAlignment="1" applyBorder="1" applyFont="1">
      <alignment readingOrder="0"/>
    </xf>
    <xf borderId="7" fillId="0" fontId="20" numFmtId="0" xfId="0" applyAlignment="1" applyBorder="1" applyFont="1">
      <alignment readingOrder="0"/>
    </xf>
    <xf borderId="8" fillId="0" fontId="20" numFmtId="0" xfId="0" applyAlignment="1" applyBorder="1" applyFont="1">
      <alignment readingOrder="0"/>
    </xf>
    <xf borderId="10" fillId="0" fontId="20" numFmtId="0" xfId="0" applyAlignment="1" applyBorder="1" applyFont="1">
      <alignment readingOrder="0" shrinkToFit="0" wrapText="1"/>
    </xf>
    <xf borderId="10" fillId="0" fontId="1" numFmtId="0" xfId="0" applyAlignment="1" applyBorder="1" applyFont="1">
      <alignment readingOrder="0"/>
    </xf>
    <xf borderId="10" fillId="0" fontId="20" numFmtId="0" xfId="0" applyAlignment="1" applyBorder="1" applyFont="1">
      <alignment readingOrder="0"/>
    </xf>
    <xf borderId="10" fillId="0" fontId="1" numFmtId="10" xfId="0" applyBorder="1" applyFont="1" applyNumberFormat="1"/>
    <xf borderId="10" fillId="0" fontId="20" numFmtId="164" xfId="0" applyAlignment="1" applyBorder="1" applyFont="1" applyNumberFormat="1">
      <alignment readingOrder="0"/>
    </xf>
    <xf borderId="2" fillId="0" fontId="20" numFmtId="0" xfId="0" applyAlignment="1" applyBorder="1" applyFont="1">
      <alignment readingOrder="0"/>
    </xf>
    <xf borderId="3" fillId="0" fontId="20" numFmtId="0" xfId="0" applyAlignment="1" applyBorder="1" applyFont="1">
      <alignment readingOrder="0"/>
    </xf>
    <xf borderId="10" fillId="0" fontId="1" numFmtId="0" xfId="0" applyBorder="1" applyFont="1"/>
    <xf borderId="14" fillId="0" fontId="20" numFmtId="164" xfId="0" applyAlignment="1" applyBorder="1" applyFont="1" applyNumberFormat="1">
      <alignment readingOrder="0"/>
    </xf>
    <xf borderId="0" fillId="0" fontId="20" numFmtId="10" xfId="0" applyAlignment="1" applyFont="1" applyNumberFormat="1">
      <alignment readingOrder="0"/>
    </xf>
    <xf borderId="0" fillId="0" fontId="20" numFmtId="164" xfId="0" applyAlignment="1" applyFont="1" applyNumberFormat="1">
      <alignment readingOrder="0"/>
    </xf>
    <xf borderId="0" fillId="0" fontId="17" numFmtId="0" xfId="0" applyAlignment="1" applyFont="1">
      <alignment horizontal="center" readingOrder="0"/>
    </xf>
    <xf borderId="1" fillId="12" fontId="20" numFmtId="0" xfId="0" applyAlignment="1" applyBorder="1" applyFont="1">
      <alignment horizontal="center" readingOrder="0" vertical="center"/>
    </xf>
    <xf borderId="10" fillId="12" fontId="20" numFmtId="165" xfId="0" applyAlignment="1" applyBorder="1" applyFont="1" applyNumberFormat="1">
      <alignment horizontal="center" readingOrder="0" vertical="center"/>
    </xf>
    <xf borderId="1" fillId="12" fontId="20" numFmtId="164" xfId="0" applyAlignment="1" applyBorder="1" applyFont="1" applyNumberFormat="1">
      <alignment horizontal="center" readingOrder="0" vertical="center"/>
    </xf>
    <xf borderId="10" fillId="17" fontId="20" numFmtId="165" xfId="0" applyAlignment="1" applyBorder="1" applyFont="1" applyNumberFormat="1">
      <alignment horizontal="center" readingOrder="0" vertical="center"/>
    </xf>
    <xf borderId="12" fillId="0" fontId="20" numFmtId="0" xfId="0" applyAlignment="1" applyBorder="1" applyFont="1">
      <alignment horizontal="center" readingOrder="0"/>
    </xf>
    <xf borderId="13" fillId="0" fontId="20" numFmtId="0" xfId="0" applyAlignment="1" applyBorder="1" applyFont="1">
      <alignment horizontal="center" readingOrder="0"/>
    </xf>
    <xf borderId="0" fillId="0" fontId="20" numFmtId="0" xfId="0" applyAlignment="1" applyFont="1">
      <alignment horizontal="center" readingOrder="0"/>
    </xf>
    <xf borderId="15" fillId="0" fontId="20" numFmtId="0" xfId="0" applyAlignment="1" applyBorder="1" applyFont="1">
      <alignment horizontal="center" readingOrder="0"/>
    </xf>
    <xf borderId="0" fillId="0" fontId="1" numFmtId="0" xfId="0" applyAlignment="1" applyFont="1">
      <alignment horizontal="center"/>
    </xf>
    <xf borderId="14" fillId="0" fontId="20" numFmtId="0" xfId="0" applyAlignment="1" applyBorder="1" applyFont="1">
      <alignment horizontal="center" readingOrder="0"/>
    </xf>
    <xf borderId="6" fillId="0" fontId="20" numFmtId="0" xfId="0" applyAlignment="1" applyBorder="1" applyFont="1">
      <alignment horizontal="center" readingOrder="0"/>
    </xf>
    <xf borderId="7" fillId="0" fontId="20" numFmtId="0" xfId="0" applyAlignment="1" applyBorder="1" applyFont="1">
      <alignment horizontal="center" readingOrder="0"/>
    </xf>
    <xf borderId="8" fillId="0" fontId="20" numFmtId="0" xfId="0" applyAlignment="1" applyBorder="1" applyFont="1">
      <alignment horizontal="center" readingOrder="0"/>
    </xf>
  </cellXfs>
  <cellStyles count="1">
    <cellStyle xfId="0" name="Normal" builtinId="0"/>
  </cellStyles>
  <dxfs count="10">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5B95F9"/>
          <bgColor rgb="FF5B95F9"/>
        </patternFill>
      </fill>
      <border/>
    </dxf>
    <dxf>
      <font/>
      <fill>
        <patternFill patternType="solid">
          <fgColor rgb="FFE8F0FE"/>
          <bgColor rgb="FFE8F0FE"/>
        </patternFill>
      </fill>
      <border/>
    </dxf>
    <dxf>
      <font>
        <color rgb="FF38761D"/>
      </font>
      <fill>
        <patternFill patternType="none"/>
      </fill>
      <border/>
    </dxf>
    <dxf>
      <font>
        <color rgb="FFCC0000"/>
      </font>
      <fill>
        <patternFill patternType="none"/>
      </fill>
      <border/>
    </dxf>
    <dxf>
      <font/>
      <fill>
        <patternFill patternType="solid">
          <fgColor rgb="FF4DD0E1"/>
          <bgColor rgb="FF4DD0E1"/>
        </patternFill>
      </fill>
      <border/>
    </dxf>
    <dxf>
      <font/>
      <fill>
        <patternFill patternType="solid">
          <fgColor rgb="FFE0F7FA"/>
          <bgColor rgb="FFE0F7FA"/>
        </patternFill>
      </fill>
      <border/>
    </dxf>
  </dxfs>
  <tableStyles count="12">
    <tableStyle count="3" pivot="0" name="Tracking Marketing-style">
      <tableStyleElement dxfId="1" type="headerRow"/>
      <tableStyleElement dxfId="2" type="firstRowStripe"/>
      <tableStyleElement dxfId="3" type="secondRowStripe"/>
    </tableStyle>
    <tableStyle count="3" pivot="0" name="Tracking Marketing-style 2">
      <tableStyleElement dxfId="4" type="headerRow"/>
      <tableStyleElement dxfId="2" type="firstRowStripe"/>
      <tableStyleElement dxfId="5" type="secondRowStripe"/>
    </tableStyle>
    <tableStyle count="3" pivot="0" name="Tracking Marketing-style 3">
      <tableStyleElement dxfId="4" type="headerRow"/>
      <tableStyleElement dxfId="2" type="firstRowStripe"/>
      <tableStyleElement dxfId="5" type="secondRowStripe"/>
    </tableStyle>
    <tableStyle count="3" pivot="0" name="Tracking Marketing-style 4">
      <tableStyleElement dxfId="4" type="headerRow"/>
      <tableStyleElement dxfId="2" type="firstRowStripe"/>
      <tableStyleElement dxfId="5" type="secondRowStripe"/>
    </tableStyle>
    <tableStyle count="3" pivot="0" name="Tracking Marketing-style 5">
      <tableStyleElement dxfId="4" type="headerRow"/>
      <tableStyleElement dxfId="2" type="firstRowStripe"/>
      <tableStyleElement dxfId="5" type="secondRowStripe"/>
    </tableStyle>
    <tableStyle count="3" pivot="0" name="Tracking Marketing-style 6">
      <tableStyleElement dxfId="4" type="headerRow"/>
      <tableStyleElement dxfId="2" type="firstRowStripe"/>
      <tableStyleElement dxfId="5" type="secondRowStripe"/>
    </tableStyle>
    <tableStyle count="3" pivot="0" name="Tracking PT Sreeya Sewu Balaraj-style">
      <tableStyleElement dxfId="8" type="headerRow"/>
      <tableStyleElement dxfId="2" type="firstRowStripe"/>
      <tableStyleElement dxfId="9" type="secondRowStripe"/>
    </tableStyle>
    <tableStyle count="3" pivot="0" name="Tracking PT Sreeya Sewu Balaraj-style 2">
      <tableStyleElement dxfId="8" type="headerRow"/>
      <tableStyleElement dxfId="2" type="firstRowStripe"/>
      <tableStyleElement dxfId="9" type="secondRowStripe"/>
    </tableStyle>
    <tableStyle count="3" pivot="0" name="Tracking PT Matahari Sakti-style">
      <tableStyleElement dxfId="8" type="headerRow"/>
      <tableStyleElement dxfId="2" type="firstRowStripe"/>
      <tableStyleElement dxfId="9" type="secondRowStripe"/>
    </tableStyle>
    <tableStyle count="3" pivot="0" name="Tracking PT Matahari Sakti-style 2">
      <tableStyleElement dxfId="8" type="headerRow"/>
      <tableStyleElement dxfId="2" type="firstRowStripe"/>
      <tableStyleElement dxfId="9" type="secondRowStripe"/>
    </tableStyle>
    <tableStyle count="3" pivot="0" name="Tracking PT Matahari Sakti-style 3">
      <tableStyleElement dxfId="8" type="headerRow"/>
      <tableStyleElement dxfId="2" type="firstRowStripe"/>
      <tableStyleElement dxfId="9" type="secondRowStripe"/>
    </tableStyle>
    <tableStyle count="3" pivot="0" name="Tracking PT Matahari Sakti-style 4">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75:H77" displayName="Table_1" name="Table_1" id="1">
  <tableColumns count="5">
    <tableColumn name="Column1" id="1"/>
    <tableColumn name="Column2" id="2"/>
    <tableColumn name="Column3" id="3"/>
    <tableColumn name="Column4" id="4"/>
    <tableColumn name="Column5" id="5"/>
  </tableColumns>
  <tableStyleInfo name="Tracking Marketin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D80:H82" displayName="Table_2" name="Table_2" id="2">
  <tableColumns count="5">
    <tableColumn name="Column1" id="1"/>
    <tableColumn name="Column2" id="2"/>
    <tableColumn name="Column3" id="3"/>
    <tableColumn name="Column4" id="4"/>
    <tableColumn name="Column5" id="5"/>
  </tableColumns>
  <tableStyleInfo name="Tracking Marketing-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D98:H99" displayName="Table_3" name="Table_3" id="3">
  <tableColumns count="5">
    <tableColumn name="Column1" id="1"/>
    <tableColumn name="Column2" id="2"/>
    <tableColumn name="Column3" id="3"/>
    <tableColumn name="Column4" id="4"/>
    <tableColumn name="Column5" id="5"/>
  </tableColumns>
  <tableStyleInfo name="Tracking Marketing-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108:H111" displayName="Table_4" name="Table_4" id="4">
  <tableColumns count="5">
    <tableColumn name="Column1" id="1"/>
    <tableColumn name="Column2" id="2"/>
    <tableColumn name="Column3" id="3"/>
    <tableColumn name="Column4" id="4"/>
    <tableColumn name="Column5" id="5"/>
  </tableColumns>
  <tableStyleInfo name="Tracking Marketing-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D114:H115" displayName="Table_5" name="Table_5" id="5">
  <tableColumns count="5">
    <tableColumn name="Column1" id="1"/>
    <tableColumn name="Column2" id="2"/>
    <tableColumn name="Column3" id="3"/>
    <tableColumn name="Column4" id="4"/>
    <tableColumn name="Column5" id="5"/>
  </tableColumns>
  <tableStyleInfo name="Tracking Marketing-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D117:H118" displayName="Table_6" name="Table_6" id="6">
  <tableColumns count="5">
    <tableColumn name="Column1" id="1"/>
    <tableColumn name="Column2" id="2"/>
    <tableColumn name="Column3" id="3"/>
    <tableColumn name="Column4" id="4"/>
    <tableColumn name="Column5" id="5"/>
  </tableColumns>
  <tableStyleInfo name="Tracking Marketing-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2:J25" displayName="Table_7" name="Table_7" id="7">
  <tableColumns count="10">
    <tableColumn name="No PO" id="1"/>
    <tableColumn name="Tanggal" id="2"/>
    <tableColumn name="Nama Bahan" id="3"/>
    <tableColumn name="Jumlah PO " id="4"/>
    <tableColumn name="Jumlah Dikirim" id="5"/>
    <tableColumn name="Sisa PO" id="6"/>
    <tableColumn name="Harga" id="7"/>
    <tableColumn name="Total (Rupiah) Jumlah Dikirim" id="8"/>
    <tableColumn name="Total (Rupiah) Sisa PO" id="9"/>
    <tableColumn name="Status" id="10"/>
  </tableColumns>
  <tableStyleInfo name="Tracking PT Sreeya Sewu Balaraj-style" showColumnStripes="0" showFirstColumn="1" showLastColumn="1" showRowStripes="1"/>
</table>
</file>

<file path=xl/tables/table8.xml><?xml version="1.0" encoding="utf-8"?>
<table xmlns="http://schemas.openxmlformats.org/spreadsheetml/2006/main" ref="A29:J44" displayName="Table_8" name="Table_8" id="8">
  <tableColumns count="10">
    <tableColumn name="No PO" id="1"/>
    <tableColumn name="Tanggal" id="2"/>
    <tableColumn name="Nama Bahan" id="3"/>
    <tableColumn name="Jumlah PO " id="4"/>
    <tableColumn name="Jumlah Dikirim" id="5"/>
    <tableColumn name="Sisa PO" id="6"/>
    <tableColumn name="Harga" id="7"/>
    <tableColumn name="Total (Rupiah) Jumlah Dikirim" id="8"/>
    <tableColumn name="Total (Rupiah) Sisa PO" id="9"/>
    <tableColumn name="Status" id="10"/>
  </tableColumns>
  <tableStyleInfo name="Tracking PT Sreeya Sewu Balaraj-style 2" showColumnStripes="0" showFirstColumn="1" showLastColumn="1" showRowStripes="1"/>
</table>
</file>

<file path=xl/tables/table9.xml><?xml version="1.0" encoding="utf-8"?>
<table xmlns="http://schemas.openxmlformats.org/spreadsheetml/2006/main" ref="A2:J22" displayName="Table_9" name="Table_9" id="9">
  <tableColumns count="10">
    <tableColumn name="No PO" id="1"/>
    <tableColumn name="Tanggal" id="2"/>
    <tableColumn name="Nama Bahan" id="3"/>
    <tableColumn name="Jumlah PO " id="4"/>
    <tableColumn name="Jumlah Dikirim" id="5"/>
    <tableColumn name="Sisa PO" id="6"/>
    <tableColumn name="Harga" id="7"/>
    <tableColumn name="Total (Rupiah) Jumlah Dikirim " id="8"/>
    <tableColumn name="Total (Rupiah) Sisa PO" id="9"/>
    <tableColumn name="Status" id="10"/>
  </tableColumns>
  <tableStyleInfo name="Tracking PT Matahari Sakti-style" showColumnStripes="0" showFirstColumn="1" showLastColumn="1" showRowStripes="1"/>
</table>
</file>

<file path=xl/tables/table10.xml><?xml version="1.0" encoding="utf-8"?>
<table xmlns="http://schemas.openxmlformats.org/spreadsheetml/2006/main" ref="A24:J44" displayName="Table_10" name="Table_10" id="10">
  <tableColumns count="10">
    <tableColumn name="No PO" id="1"/>
    <tableColumn name="Tanggal" id="2"/>
    <tableColumn name="Nama Bahan" id="3"/>
    <tableColumn name="Jumlah PO " id="4"/>
    <tableColumn name="Jumlah Dikirim" id="5"/>
    <tableColumn name="Sisa PO" id="6"/>
    <tableColumn name="Harga" id="7"/>
    <tableColumn name="Total (Rupiah) Jumlah Dikirim " id="8"/>
    <tableColumn name="Total (Rupiah) Sisa PO" id="9"/>
    <tableColumn name="Status" id="10"/>
  </tableColumns>
  <tableStyleInfo name="Tracking PT Matahari Sakti-style 2" showColumnStripes="0" showFirstColumn="1" showLastColumn="1" showRowStripes="1"/>
</table>
</file>

<file path=xl/tables/table11.xml><?xml version="1.0" encoding="utf-8"?>
<table xmlns="http://schemas.openxmlformats.org/spreadsheetml/2006/main" ref="A50:J70" displayName="Table_11" name="Table_11" id="11">
  <tableColumns count="10">
    <tableColumn name="No PO" id="1"/>
    <tableColumn name="Tanggal" id="2"/>
    <tableColumn name="Nama Bahan" id="3"/>
    <tableColumn name="Jumlah PO " id="4"/>
    <tableColumn name="Jumlah Dikirim" id="5"/>
    <tableColumn name="Sisa PO" id="6"/>
    <tableColumn name="Harga" id="7"/>
    <tableColumn name="Total (Rupiah) Jumlah Dikirim " id="8"/>
    <tableColumn name="Total (Rupiah) Sisa PO" id="9"/>
    <tableColumn name="Status" id="10"/>
  </tableColumns>
  <tableStyleInfo name="Tracking PT Matahari Sakti-style 3" showColumnStripes="0" showFirstColumn="1" showLastColumn="1" showRowStripes="1"/>
</table>
</file>

<file path=xl/tables/table12.xml><?xml version="1.0" encoding="utf-8"?>
<table xmlns="http://schemas.openxmlformats.org/spreadsheetml/2006/main" ref="A73:J93" displayName="Table_12" name="Table_12" id="12">
  <tableColumns count="10">
    <tableColumn name="No PO" id="1"/>
    <tableColumn name="Tanggal" id="2"/>
    <tableColumn name="Nama Bahan" id="3"/>
    <tableColumn name="Jumlah PO " id="4"/>
    <tableColumn name="Jumlah Dikirim" id="5"/>
    <tableColumn name="Sisa PO" id="6"/>
    <tableColumn name="Harga" id="7"/>
    <tableColumn name="Total (Rupiah) Jumlah Dikirim " id="8"/>
    <tableColumn name="Total (Rupiah) Sisa PO" id="9"/>
    <tableColumn name="Status" id="10"/>
  </tableColumns>
  <tableStyleInfo name="Tracking PT Matahari Sakti-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7.xml"/><Relationship Id="rId5"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2.xml"/><Relationship Id="rId6" Type="http://schemas.openxmlformats.org/officeDocument/2006/relationships/table" Target="../tables/table9.xml"/><Relationship Id="rId7" Type="http://schemas.openxmlformats.org/officeDocument/2006/relationships/table" Target="../tables/table10.xml"/><Relationship Id="rId8"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75"/>
  <cols>
    <col customWidth="1" min="1" max="1" width="3.75"/>
    <col customWidth="1" min="2" max="2" width="23.5"/>
    <col customWidth="1" min="3" max="3" width="14.38"/>
    <col customWidth="1" min="4" max="4" width="22.13"/>
    <col customWidth="1" min="5" max="5" width="31.0"/>
    <col customWidth="1" min="6" max="6" width="10.25"/>
    <col customWidth="1" min="7" max="7" width="21.0"/>
    <col customWidth="1" min="8" max="8" width="16.0"/>
    <col customWidth="1" min="10" max="10" width="22.25"/>
    <col customWidth="1" min="11" max="11" width="14.38"/>
    <col customWidth="1" min="13" max="13" width="27.63"/>
    <col customWidth="1" min="14" max="14" width="22.13"/>
    <col customWidth="1" min="15" max="15" width="13.25"/>
    <col customWidth="1" min="16" max="16" width="22.25"/>
    <col customWidth="1" min="17" max="17" width="17.88"/>
    <col customWidth="1" min="18" max="18" width="14.38"/>
    <col customWidth="1" min="19" max="19" width="20.63"/>
    <col customWidth="1" min="20" max="20" width="12.13"/>
    <col customWidth="1" min="22" max="22" width="22.38"/>
    <col customWidth="1" min="25" max="25" width="21.5"/>
    <col customWidth="1" min="26" max="26" width="30.75"/>
    <col customWidth="1" min="28" max="28" width="22.38"/>
    <col customWidth="1" min="31" max="31" width="19.75"/>
    <col customWidth="1" min="34" max="34" width="22.13"/>
    <col customWidth="1" min="37" max="37" width="22.13"/>
    <col customWidth="1" min="38" max="38" width="23.0"/>
    <col customWidth="1" min="40" max="40" width="23.75"/>
    <col customWidth="1" min="42" max="42" width="11.63"/>
    <col customWidth="1" min="43" max="43" width="22.13"/>
    <col customWidth="1" min="45" max="45" width="7.25"/>
    <col customWidth="1" min="46" max="46" width="19.38"/>
    <col customWidth="1" min="47" max="47" width="15.5"/>
    <col customWidth="1" min="49" max="49" width="19.75"/>
    <col customWidth="1" min="52" max="52" width="19.5"/>
    <col customWidth="1" min="55" max="55" width="22.13"/>
    <col customWidth="1" min="58" max="58" width="22.13"/>
    <col customWidth="1" min="61" max="61" width="21.25"/>
    <col customWidth="1" min="64" max="64" width="22.13"/>
    <col customWidth="1" min="65" max="65" width="15.5"/>
    <col customWidth="1" min="67" max="67" width="19.38"/>
    <col customWidth="1" min="69" max="69" width="11.75"/>
    <col customWidth="1" min="70" max="70" width="22.13"/>
    <col customWidth="1" min="71" max="72" width="11.75"/>
    <col customWidth="1" min="73" max="73" width="19.13"/>
    <col customWidth="1" min="74" max="75" width="11.75"/>
    <col customWidth="1" min="76" max="76" width="18.0"/>
    <col customWidth="1" min="77" max="77" width="23.75"/>
    <col customWidth="1" min="78" max="78" width="11.75"/>
    <col customWidth="1" min="79" max="79" width="19.25"/>
    <col customWidth="1" min="80" max="80" width="47.25"/>
    <col customWidth="1" min="81" max="81" width="11.75"/>
    <col customWidth="1" min="82" max="82" width="22.13"/>
    <col customWidth="1" min="83" max="83" width="23.38"/>
    <col customWidth="1" min="84" max="84" width="11.75"/>
    <col customWidth="1" min="85" max="85" width="20.75"/>
    <col customWidth="1" min="86" max="87" width="11.75"/>
    <col customWidth="1" min="88" max="88" width="22.13"/>
    <col customWidth="1" min="89" max="90" width="11.75"/>
    <col customWidth="1" min="91" max="91" width="29.25"/>
    <col customWidth="1" min="92" max="92" width="29.75"/>
  </cols>
  <sheetData>
    <row r="1">
      <c r="A1" s="1" t="s">
        <v>0</v>
      </c>
      <c r="B1" s="1" t="s">
        <v>1</v>
      </c>
      <c r="C1" s="2" t="s">
        <v>2</v>
      </c>
      <c r="D1" s="3"/>
      <c r="E1" s="3"/>
      <c r="F1" s="3"/>
      <c r="G1" s="3"/>
      <c r="H1" s="4"/>
      <c r="I1" s="2" t="s">
        <v>3</v>
      </c>
      <c r="J1" s="3"/>
      <c r="K1" s="3"/>
      <c r="L1" s="3"/>
      <c r="M1" s="3"/>
      <c r="N1" s="4"/>
      <c r="O1" s="2" t="s">
        <v>4</v>
      </c>
      <c r="P1" s="3"/>
      <c r="Q1" s="3"/>
      <c r="R1" s="3"/>
      <c r="S1" s="3"/>
      <c r="T1" s="3"/>
      <c r="U1" s="3"/>
      <c r="V1" s="3"/>
      <c r="W1" s="4"/>
      <c r="X1" s="5" t="s">
        <v>5</v>
      </c>
      <c r="Y1" s="3"/>
      <c r="Z1" s="3"/>
      <c r="AA1" s="3"/>
      <c r="AB1" s="3"/>
      <c r="AC1" s="4"/>
      <c r="AD1" s="2" t="s">
        <v>6</v>
      </c>
      <c r="AE1" s="3"/>
      <c r="AF1" s="4"/>
      <c r="AG1" s="2" t="s">
        <v>7</v>
      </c>
      <c r="AH1" s="3"/>
      <c r="AI1" s="4"/>
      <c r="AJ1" s="2" t="s">
        <v>8</v>
      </c>
      <c r="AK1" s="3"/>
      <c r="AL1" s="4"/>
      <c r="AM1" s="2" t="s">
        <v>9</v>
      </c>
      <c r="AN1" s="3"/>
      <c r="AO1" s="4"/>
      <c r="AP1" s="2" t="s">
        <v>10</v>
      </c>
      <c r="AQ1" s="3"/>
      <c r="AR1" s="3"/>
      <c r="AS1" s="3"/>
      <c r="AT1" s="3"/>
      <c r="AU1" s="4"/>
      <c r="AV1" s="6" t="s">
        <v>11</v>
      </c>
      <c r="AW1" s="3"/>
      <c r="AX1" s="3"/>
      <c r="AY1" s="3"/>
      <c r="AZ1" s="3"/>
      <c r="BA1" s="4"/>
      <c r="BB1" s="2" t="s">
        <v>12</v>
      </c>
      <c r="BC1" s="3"/>
      <c r="BD1" s="4"/>
      <c r="BE1" s="2" t="s">
        <v>13</v>
      </c>
      <c r="BF1" s="3"/>
      <c r="BG1" s="4"/>
      <c r="BH1" s="2" t="s">
        <v>14</v>
      </c>
      <c r="BI1" s="3"/>
      <c r="BJ1" s="4"/>
      <c r="BK1" s="2" t="s">
        <v>15</v>
      </c>
      <c r="BL1" s="3"/>
      <c r="BM1" s="4"/>
      <c r="BN1" s="2" t="s">
        <v>16</v>
      </c>
      <c r="BO1" s="3"/>
      <c r="BP1" s="4"/>
      <c r="BQ1" s="2" t="s">
        <v>17</v>
      </c>
      <c r="BR1" s="3"/>
      <c r="BS1" s="4"/>
      <c r="BT1" s="2" t="s">
        <v>18</v>
      </c>
      <c r="BU1" s="3"/>
      <c r="BV1" s="3"/>
      <c r="BW1" s="3"/>
      <c r="BX1" s="3"/>
      <c r="BY1" s="4"/>
      <c r="BZ1" s="2" t="s">
        <v>19</v>
      </c>
      <c r="CA1" s="3"/>
      <c r="CB1" s="4"/>
      <c r="CC1" s="6" t="s">
        <v>20</v>
      </c>
      <c r="CD1" s="3"/>
      <c r="CE1" s="4"/>
      <c r="CF1" s="2" t="s">
        <v>21</v>
      </c>
      <c r="CG1" s="3"/>
      <c r="CH1" s="4"/>
      <c r="CI1" s="2" t="s">
        <v>22</v>
      </c>
      <c r="CJ1" s="3"/>
      <c r="CK1" s="4"/>
      <c r="CL1" s="2" t="s">
        <v>23</v>
      </c>
      <c r="CM1" s="3"/>
      <c r="CN1" s="4"/>
    </row>
    <row r="2">
      <c r="A2" s="7"/>
      <c r="B2" s="7"/>
      <c r="C2" s="8" t="s">
        <v>24</v>
      </c>
      <c r="D2" s="3"/>
      <c r="E2" s="4"/>
      <c r="F2" s="8" t="s">
        <v>25</v>
      </c>
      <c r="G2" s="3"/>
      <c r="H2" s="4"/>
      <c r="I2" s="8" t="s">
        <v>26</v>
      </c>
      <c r="J2" s="3"/>
      <c r="K2" s="4"/>
      <c r="L2" s="8" t="s">
        <v>27</v>
      </c>
      <c r="M2" s="3"/>
      <c r="N2" s="4"/>
      <c r="O2" s="9" t="s">
        <v>28</v>
      </c>
      <c r="P2" s="10"/>
      <c r="Q2" s="11"/>
      <c r="R2" s="9" t="s">
        <v>29</v>
      </c>
      <c r="S2" s="10"/>
      <c r="T2" s="11"/>
      <c r="U2" s="9" t="s">
        <v>30</v>
      </c>
      <c r="V2" s="10"/>
      <c r="W2" s="11"/>
      <c r="X2" s="8" t="s">
        <v>24</v>
      </c>
      <c r="Y2" s="3"/>
      <c r="Z2" s="4"/>
      <c r="AA2" s="8" t="s">
        <v>29</v>
      </c>
      <c r="AB2" s="3"/>
      <c r="AC2" s="4"/>
      <c r="AD2" s="8" t="s">
        <v>28</v>
      </c>
      <c r="AE2" s="3"/>
      <c r="AF2" s="4"/>
      <c r="AG2" s="8" t="s">
        <v>31</v>
      </c>
      <c r="AH2" s="3"/>
      <c r="AI2" s="4"/>
      <c r="AJ2" s="8" t="s">
        <v>31</v>
      </c>
      <c r="AK2" s="3"/>
      <c r="AL2" s="4"/>
      <c r="AM2" s="8" t="s">
        <v>32</v>
      </c>
      <c r="AN2" s="3"/>
      <c r="AO2" s="4"/>
      <c r="AP2" s="8" t="s">
        <v>33</v>
      </c>
      <c r="AQ2" s="3"/>
      <c r="AR2" s="4"/>
      <c r="AS2" s="8" t="s">
        <v>34</v>
      </c>
      <c r="AT2" s="3"/>
      <c r="AU2" s="4"/>
      <c r="AV2" s="12" t="s">
        <v>35</v>
      </c>
      <c r="AW2" s="3"/>
      <c r="AX2" s="4"/>
      <c r="AY2" s="12" t="s">
        <v>36</v>
      </c>
      <c r="AZ2" s="3"/>
      <c r="BA2" s="4"/>
      <c r="BB2" s="8" t="s">
        <v>37</v>
      </c>
      <c r="BC2" s="3"/>
      <c r="BD2" s="4"/>
      <c r="BE2" s="8" t="s">
        <v>38</v>
      </c>
      <c r="BF2" s="3"/>
      <c r="BG2" s="4"/>
      <c r="BH2" s="8" t="s">
        <v>39</v>
      </c>
      <c r="BI2" s="3"/>
      <c r="BJ2" s="4"/>
      <c r="BK2" s="8" t="s">
        <v>40</v>
      </c>
      <c r="BL2" s="3"/>
      <c r="BM2" s="4"/>
      <c r="BN2" s="8" t="s">
        <v>31</v>
      </c>
      <c r="BO2" s="3"/>
      <c r="BP2" s="4"/>
      <c r="BQ2" s="8" t="s">
        <v>31</v>
      </c>
      <c r="BR2" s="3"/>
      <c r="BS2" s="4"/>
      <c r="BT2" s="8" t="s">
        <v>41</v>
      </c>
      <c r="BU2" s="3"/>
      <c r="BV2" s="4"/>
      <c r="BW2" s="8" t="s">
        <v>37</v>
      </c>
      <c r="BX2" s="3"/>
      <c r="BY2" s="4"/>
      <c r="BZ2" s="8" t="s">
        <v>37</v>
      </c>
      <c r="CA2" s="3"/>
      <c r="CB2" s="4"/>
      <c r="CC2" s="13" t="s">
        <v>37</v>
      </c>
      <c r="CD2" s="3"/>
      <c r="CE2" s="4"/>
      <c r="CF2" s="8" t="s">
        <v>42</v>
      </c>
      <c r="CG2" s="3"/>
      <c r="CH2" s="4"/>
      <c r="CI2" s="8" t="s">
        <v>32</v>
      </c>
      <c r="CJ2" s="3"/>
      <c r="CK2" s="4"/>
      <c r="CL2" s="8" t="s">
        <v>37</v>
      </c>
      <c r="CM2" s="3"/>
      <c r="CN2" s="4"/>
    </row>
    <row r="3">
      <c r="A3" s="14"/>
      <c r="B3" s="14"/>
      <c r="C3" s="15" t="s">
        <v>43</v>
      </c>
      <c r="D3" s="15" t="s">
        <v>44</v>
      </c>
      <c r="E3" s="15" t="s">
        <v>45</v>
      </c>
      <c r="F3" s="15" t="s">
        <v>43</v>
      </c>
      <c r="G3" s="15" t="s">
        <v>44</v>
      </c>
      <c r="H3" s="15" t="s">
        <v>45</v>
      </c>
      <c r="I3" s="15" t="s">
        <v>43</v>
      </c>
      <c r="J3" s="15" t="s">
        <v>44</v>
      </c>
      <c r="K3" s="15" t="s">
        <v>45</v>
      </c>
      <c r="L3" s="15" t="s">
        <v>43</v>
      </c>
      <c r="M3" s="15" t="s">
        <v>44</v>
      </c>
      <c r="N3" s="15" t="s">
        <v>45</v>
      </c>
      <c r="O3" s="15" t="s">
        <v>43</v>
      </c>
      <c r="P3" s="15" t="s">
        <v>44</v>
      </c>
      <c r="Q3" s="15" t="s">
        <v>45</v>
      </c>
      <c r="R3" s="15" t="s">
        <v>43</v>
      </c>
      <c r="S3" s="15" t="s">
        <v>44</v>
      </c>
      <c r="T3" s="15" t="s">
        <v>45</v>
      </c>
      <c r="U3" s="15" t="s">
        <v>43</v>
      </c>
      <c r="V3" s="15" t="s">
        <v>44</v>
      </c>
      <c r="W3" s="15" t="s">
        <v>45</v>
      </c>
      <c r="X3" s="15" t="s">
        <v>43</v>
      </c>
      <c r="Y3" s="15" t="s">
        <v>44</v>
      </c>
      <c r="Z3" s="15" t="s">
        <v>45</v>
      </c>
      <c r="AA3" s="15" t="s">
        <v>43</v>
      </c>
      <c r="AB3" s="15" t="s">
        <v>44</v>
      </c>
      <c r="AC3" s="15" t="s">
        <v>45</v>
      </c>
      <c r="AD3" s="15" t="s">
        <v>43</v>
      </c>
      <c r="AE3" s="15" t="s">
        <v>44</v>
      </c>
      <c r="AF3" s="15" t="s">
        <v>45</v>
      </c>
      <c r="AG3" s="15" t="s">
        <v>43</v>
      </c>
      <c r="AH3" s="15" t="s">
        <v>44</v>
      </c>
      <c r="AI3" s="15" t="s">
        <v>45</v>
      </c>
      <c r="AJ3" s="15" t="s">
        <v>43</v>
      </c>
      <c r="AK3" s="15" t="s">
        <v>44</v>
      </c>
      <c r="AL3" s="15" t="s">
        <v>45</v>
      </c>
      <c r="AM3" s="15" t="s">
        <v>43</v>
      </c>
      <c r="AN3" s="15" t="s">
        <v>44</v>
      </c>
      <c r="AO3" s="15" t="s">
        <v>45</v>
      </c>
      <c r="AP3" s="15" t="s">
        <v>43</v>
      </c>
      <c r="AQ3" s="15" t="s">
        <v>44</v>
      </c>
      <c r="AR3" s="15" t="s">
        <v>45</v>
      </c>
      <c r="AS3" s="15" t="s">
        <v>43</v>
      </c>
      <c r="AT3" s="15" t="s">
        <v>44</v>
      </c>
      <c r="AU3" s="15" t="s">
        <v>45</v>
      </c>
      <c r="AV3" s="15" t="s">
        <v>43</v>
      </c>
      <c r="AW3" s="15" t="s">
        <v>44</v>
      </c>
      <c r="AX3" s="15" t="s">
        <v>45</v>
      </c>
      <c r="AY3" s="15" t="s">
        <v>43</v>
      </c>
      <c r="AZ3" s="15" t="s">
        <v>44</v>
      </c>
      <c r="BA3" s="15" t="s">
        <v>45</v>
      </c>
      <c r="BB3" s="15" t="s">
        <v>43</v>
      </c>
      <c r="BC3" s="15" t="s">
        <v>44</v>
      </c>
      <c r="BD3" s="15" t="s">
        <v>45</v>
      </c>
      <c r="BE3" s="15" t="s">
        <v>43</v>
      </c>
      <c r="BF3" s="15" t="s">
        <v>44</v>
      </c>
      <c r="BG3" s="15" t="s">
        <v>45</v>
      </c>
      <c r="BH3" s="15" t="s">
        <v>43</v>
      </c>
      <c r="BI3" s="15" t="s">
        <v>44</v>
      </c>
      <c r="BJ3" s="15" t="s">
        <v>45</v>
      </c>
      <c r="BK3" s="15" t="s">
        <v>43</v>
      </c>
      <c r="BL3" s="15" t="s">
        <v>44</v>
      </c>
      <c r="BM3" s="15" t="s">
        <v>45</v>
      </c>
      <c r="BN3" s="15" t="s">
        <v>43</v>
      </c>
      <c r="BO3" s="15" t="s">
        <v>44</v>
      </c>
      <c r="BP3" s="15" t="s">
        <v>45</v>
      </c>
      <c r="BQ3" s="15" t="s">
        <v>43</v>
      </c>
      <c r="BR3" s="15" t="s">
        <v>44</v>
      </c>
      <c r="BS3" s="15" t="s">
        <v>45</v>
      </c>
      <c r="BT3" s="15" t="s">
        <v>43</v>
      </c>
      <c r="BU3" s="15" t="s">
        <v>44</v>
      </c>
      <c r="BV3" s="15" t="s">
        <v>45</v>
      </c>
      <c r="BW3" s="15" t="s">
        <v>43</v>
      </c>
      <c r="BX3" s="15" t="s">
        <v>44</v>
      </c>
      <c r="BY3" s="15" t="s">
        <v>45</v>
      </c>
      <c r="BZ3" s="15" t="s">
        <v>43</v>
      </c>
      <c r="CA3" s="15" t="s">
        <v>44</v>
      </c>
      <c r="CB3" s="15" t="s">
        <v>45</v>
      </c>
      <c r="CC3" s="16" t="s">
        <v>43</v>
      </c>
      <c r="CD3" s="15" t="s">
        <v>44</v>
      </c>
      <c r="CE3" s="16" t="s">
        <v>45</v>
      </c>
      <c r="CF3" s="15" t="s">
        <v>43</v>
      </c>
      <c r="CG3" s="15" t="s">
        <v>44</v>
      </c>
      <c r="CH3" s="15" t="s">
        <v>45</v>
      </c>
      <c r="CI3" s="15" t="s">
        <v>43</v>
      </c>
      <c r="CJ3" s="15" t="s">
        <v>44</v>
      </c>
      <c r="CK3" s="15" t="s">
        <v>45</v>
      </c>
      <c r="CL3" s="15" t="s">
        <v>43</v>
      </c>
      <c r="CM3" s="15" t="s">
        <v>44</v>
      </c>
      <c r="CN3" s="15" t="s">
        <v>45</v>
      </c>
    </row>
    <row r="4">
      <c r="A4" s="17">
        <v>1.0</v>
      </c>
      <c r="B4" s="18" t="s">
        <v>46</v>
      </c>
      <c r="C4" s="18" t="b">
        <v>1</v>
      </c>
      <c r="D4" s="18" t="s">
        <v>47</v>
      </c>
      <c r="E4" s="19"/>
      <c r="F4" s="19" t="b">
        <v>0</v>
      </c>
      <c r="G4" s="19"/>
      <c r="H4" s="19"/>
      <c r="I4" s="19" t="b">
        <v>0</v>
      </c>
      <c r="J4" s="19"/>
      <c r="K4" s="19"/>
      <c r="L4" s="18" t="b">
        <v>0</v>
      </c>
      <c r="M4" s="19"/>
      <c r="N4" s="19"/>
      <c r="O4" s="18" t="b">
        <v>0</v>
      </c>
      <c r="P4" s="18" t="s">
        <v>48</v>
      </c>
      <c r="Q4" s="19"/>
      <c r="R4" s="19" t="b">
        <v>0</v>
      </c>
      <c r="S4" s="19"/>
      <c r="T4" s="19"/>
      <c r="U4" s="19" t="b">
        <v>0</v>
      </c>
      <c r="V4" s="19"/>
      <c r="W4" s="19"/>
      <c r="X4" s="19" t="b">
        <v>0</v>
      </c>
      <c r="Y4" s="19"/>
      <c r="Z4" s="19"/>
      <c r="AA4" s="19" t="b">
        <v>0</v>
      </c>
      <c r="AB4" s="19"/>
      <c r="AC4" s="19"/>
      <c r="AD4" s="18" t="b">
        <v>0</v>
      </c>
      <c r="AE4" s="18"/>
      <c r="AF4" s="18"/>
      <c r="AG4" s="18" t="b">
        <v>1</v>
      </c>
      <c r="AH4" s="18" t="s">
        <v>47</v>
      </c>
      <c r="AI4" s="19"/>
      <c r="AJ4" s="19" t="b">
        <v>0</v>
      </c>
      <c r="AK4" s="19"/>
      <c r="AL4" s="19"/>
      <c r="AM4" s="19" t="b">
        <v>0</v>
      </c>
      <c r="AN4" s="19"/>
      <c r="AO4" s="19"/>
      <c r="AP4" s="19" t="b">
        <v>0</v>
      </c>
      <c r="AQ4" s="19"/>
      <c r="AR4" s="19"/>
      <c r="AS4" s="19" t="b">
        <v>0</v>
      </c>
      <c r="AT4" s="19"/>
      <c r="AU4" s="19"/>
      <c r="AV4" s="19" t="b">
        <v>0</v>
      </c>
      <c r="AW4" s="18"/>
      <c r="AX4" s="19"/>
      <c r="AY4" s="18" t="b">
        <v>1</v>
      </c>
      <c r="AZ4" s="18" t="s">
        <v>48</v>
      </c>
      <c r="BA4" s="19"/>
      <c r="BB4" s="19" t="b">
        <v>0</v>
      </c>
      <c r="BC4" s="18"/>
      <c r="BD4" s="19"/>
      <c r="BE4" s="19" t="b">
        <v>0</v>
      </c>
      <c r="BF4" s="19"/>
      <c r="BG4" s="19"/>
      <c r="BH4" s="19" t="b">
        <v>0</v>
      </c>
      <c r="BI4" s="19"/>
      <c r="BJ4" s="19"/>
      <c r="BK4" s="19" t="b">
        <v>0</v>
      </c>
      <c r="BL4" s="19"/>
      <c r="BM4" s="19"/>
      <c r="BN4" s="19" t="b">
        <v>0</v>
      </c>
      <c r="BO4" s="19"/>
      <c r="BP4" s="19"/>
      <c r="BQ4" s="18" t="b">
        <v>1</v>
      </c>
      <c r="BR4" s="18" t="s">
        <v>49</v>
      </c>
      <c r="BS4" s="19"/>
      <c r="BT4" s="18" t="b">
        <v>1</v>
      </c>
      <c r="BU4" s="18" t="s">
        <v>47</v>
      </c>
      <c r="BV4" s="19"/>
      <c r="BW4" s="18" t="b">
        <v>0</v>
      </c>
      <c r="BX4" s="18"/>
      <c r="BY4" s="19"/>
      <c r="BZ4" s="18" t="b">
        <v>0</v>
      </c>
      <c r="CA4" s="18"/>
      <c r="CB4" s="19"/>
      <c r="CC4" s="20" t="b">
        <v>0</v>
      </c>
      <c r="CD4" s="18"/>
      <c r="CE4" s="21"/>
      <c r="CF4" s="18" t="b">
        <v>0</v>
      </c>
      <c r="CG4" s="18"/>
      <c r="CH4" s="19"/>
      <c r="CI4" s="18" t="b">
        <v>1</v>
      </c>
      <c r="CJ4" s="18" t="s">
        <v>48</v>
      </c>
      <c r="CK4" s="19"/>
      <c r="CL4" s="18" t="b">
        <v>0</v>
      </c>
      <c r="CM4" s="18"/>
      <c r="CN4" s="19"/>
    </row>
    <row r="5">
      <c r="A5" s="22">
        <v>2.0</v>
      </c>
      <c r="B5" s="22" t="s">
        <v>50</v>
      </c>
      <c r="C5" s="22" t="b">
        <v>0</v>
      </c>
      <c r="D5" s="22"/>
      <c r="E5" s="23"/>
      <c r="F5" s="23" t="b">
        <v>0</v>
      </c>
      <c r="G5" s="22"/>
      <c r="H5" s="23"/>
      <c r="I5" s="23" t="b">
        <v>0</v>
      </c>
      <c r="J5" s="22"/>
      <c r="K5" s="23"/>
      <c r="L5" s="23" t="b">
        <v>0</v>
      </c>
      <c r="M5" s="22"/>
      <c r="N5" s="22"/>
      <c r="O5" s="23" t="b">
        <v>0</v>
      </c>
      <c r="P5" s="22" t="s">
        <v>48</v>
      </c>
      <c r="Q5" s="23"/>
      <c r="R5" s="23" t="b">
        <v>0</v>
      </c>
      <c r="S5" s="22"/>
      <c r="T5" s="23"/>
      <c r="U5" s="23" t="b">
        <v>0</v>
      </c>
      <c r="V5" s="22"/>
      <c r="W5" s="23"/>
      <c r="X5" s="23" t="b">
        <v>0</v>
      </c>
      <c r="Y5" s="22"/>
      <c r="Z5" s="23"/>
      <c r="AA5" s="23" t="b">
        <v>0</v>
      </c>
      <c r="AB5" s="22"/>
      <c r="AC5" s="23"/>
      <c r="AD5" s="22" t="b">
        <v>0</v>
      </c>
      <c r="AE5" s="22"/>
      <c r="AF5" s="22"/>
      <c r="AG5" s="22" t="b">
        <v>1</v>
      </c>
      <c r="AH5" s="22" t="s">
        <v>51</v>
      </c>
      <c r="AI5" s="23"/>
      <c r="AJ5" s="23" t="b">
        <v>0</v>
      </c>
      <c r="AK5" s="22"/>
      <c r="AL5" s="23"/>
      <c r="AM5" s="23" t="b">
        <v>0</v>
      </c>
      <c r="AN5" s="22"/>
      <c r="AO5" s="23"/>
      <c r="AP5" s="22" t="b">
        <v>1</v>
      </c>
      <c r="AQ5" s="22" t="s">
        <v>51</v>
      </c>
      <c r="AR5" s="23"/>
      <c r="AS5" s="22" t="b">
        <v>1</v>
      </c>
      <c r="AT5" s="22" t="s">
        <v>52</v>
      </c>
      <c r="AU5" s="23"/>
      <c r="AV5" s="23" t="b">
        <v>0</v>
      </c>
      <c r="AW5" s="22"/>
      <c r="AX5" s="23"/>
      <c r="AY5" s="23" t="b">
        <v>0</v>
      </c>
      <c r="AZ5" s="22"/>
      <c r="BA5" s="23"/>
      <c r="BB5" s="23" t="b">
        <v>0</v>
      </c>
      <c r="BC5" s="22"/>
      <c r="BD5" s="23"/>
      <c r="BE5" s="23" t="b">
        <v>0</v>
      </c>
      <c r="BF5" s="22"/>
      <c r="BG5" s="23"/>
      <c r="BH5" s="23" t="b">
        <v>0</v>
      </c>
      <c r="BI5" s="22"/>
      <c r="BJ5" s="23"/>
      <c r="BK5" s="23" t="b">
        <v>0</v>
      </c>
      <c r="BL5" s="22"/>
      <c r="BM5" s="23"/>
      <c r="BN5" s="23" t="b">
        <v>0</v>
      </c>
      <c r="BO5" s="22"/>
      <c r="BP5" s="23"/>
      <c r="BQ5" s="22" t="b">
        <v>1</v>
      </c>
      <c r="BR5" s="22" t="s">
        <v>48</v>
      </c>
      <c r="BS5" s="23"/>
      <c r="BT5" s="22" t="b">
        <v>1</v>
      </c>
      <c r="BU5" s="22" t="s">
        <v>48</v>
      </c>
      <c r="BV5" s="23"/>
      <c r="BW5" s="22" t="b">
        <v>0</v>
      </c>
      <c r="BX5" s="22"/>
      <c r="BY5" s="23"/>
      <c r="BZ5" s="22" t="b">
        <v>0</v>
      </c>
      <c r="CA5" s="22"/>
      <c r="CB5" s="23"/>
      <c r="CC5" s="24" t="b">
        <v>0</v>
      </c>
      <c r="CD5" s="22"/>
      <c r="CE5" s="25"/>
      <c r="CF5" s="22" t="b">
        <v>0</v>
      </c>
      <c r="CG5" s="22"/>
      <c r="CH5" s="23"/>
      <c r="CI5" s="22" t="b">
        <v>1</v>
      </c>
      <c r="CJ5" s="22" t="s">
        <v>48</v>
      </c>
      <c r="CK5" s="23"/>
      <c r="CL5" s="22" t="b">
        <v>0</v>
      </c>
      <c r="CM5" s="22"/>
      <c r="CN5" s="23"/>
    </row>
    <row r="6">
      <c r="A6" s="18">
        <v>3.0</v>
      </c>
      <c r="B6" s="18" t="s">
        <v>53</v>
      </c>
      <c r="C6" s="18" t="b">
        <v>1</v>
      </c>
      <c r="D6" s="18" t="s">
        <v>47</v>
      </c>
      <c r="E6" s="19"/>
      <c r="F6" s="18" t="b">
        <v>1</v>
      </c>
      <c r="G6" s="18" t="s">
        <v>54</v>
      </c>
      <c r="H6" s="19"/>
      <c r="I6" s="19" t="b">
        <v>0</v>
      </c>
      <c r="J6" s="18"/>
      <c r="K6" s="19"/>
      <c r="L6" s="19" t="b">
        <v>0</v>
      </c>
      <c r="M6" s="18"/>
      <c r="N6" s="18"/>
      <c r="O6" s="18" t="b">
        <v>1</v>
      </c>
      <c r="P6" s="18" t="s">
        <v>47</v>
      </c>
      <c r="Q6" s="19"/>
      <c r="R6" s="18" t="b">
        <v>1</v>
      </c>
      <c r="S6" s="18" t="s">
        <v>47</v>
      </c>
      <c r="T6" s="19"/>
      <c r="U6" s="18" t="b">
        <v>1</v>
      </c>
      <c r="V6" s="18" t="s">
        <v>47</v>
      </c>
      <c r="W6" s="19"/>
      <c r="X6" s="18" t="b">
        <v>1</v>
      </c>
      <c r="Y6" s="18" t="s">
        <v>55</v>
      </c>
      <c r="Z6" s="26" t="s">
        <v>56</v>
      </c>
      <c r="AA6" s="18" t="b">
        <v>1</v>
      </c>
      <c r="AB6" s="18" t="s">
        <v>55</v>
      </c>
      <c r="AC6" s="19"/>
      <c r="AD6" s="18" t="b">
        <v>0</v>
      </c>
      <c r="AE6" s="18"/>
      <c r="AF6" s="18"/>
      <c r="AG6" s="18" t="b">
        <v>1</v>
      </c>
      <c r="AH6" s="18" t="s">
        <v>57</v>
      </c>
      <c r="AI6" s="19"/>
      <c r="AJ6" s="18" t="b">
        <v>1</v>
      </c>
      <c r="AK6" s="18" t="s">
        <v>58</v>
      </c>
      <c r="AL6" s="19"/>
      <c r="AM6" s="18" t="b">
        <v>1</v>
      </c>
      <c r="AN6" s="18" t="s">
        <v>47</v>
      </c>
      <c r="AO6" s="19"/>
      <c r="AP6" s="19" t="b">
        <v>0</v>
      </c>
      <c r="AQ6" s="18" t="s">
        <v>55</v>
      </c>
      <c r="AR6" s="19"/>
      <c r="AS6" s="18" t="b">
        <v>1</v>
      </c>
      <c r="AT6" s="18" t="s">
        <v>47</v>
      </c>
      <c r="AU6" s="18" t="s">
        <v>59</v>
      </c>
      <c r="AV6" s="18" t="b">
        <v>1</v>
      </c>
      <c r="AW6" s="18" t="s">
        <v>55</v>
      </c>
      <c r="AX6" s="19"/>
      <c r="AY6" s="19" t="b">
        <v>0</v>
      </c>
      <c r="AZ6" s="18"/>
      <c r="BA6" s="19"/>
      <c r="BB6" s="18" t="b">
        <v>1</v>
      </c>
      <c r="BC6" s="18" t="s">
        <v>57</v>
      </c>
      <c r="BD6" s="19"/>
      <c r="BE6" s="19" t="b">
        <v>0</v>
      </c>
      <c r="BF6" s="18"/>
      <c r="BG6" s="19"/>
      <c r="BH6" s="18" t="b">
        <v>1</v>
      </c>
      <c r="BI6" s="18" t="s">
        <v>48</v>
      </c>
      <c r="BJ6" s="19"/>
      <c r="BK6" s="19" t="b">
        <v>0</v>
      </c>
      <c r="BL6" s="18"/>
      <c r="BM6" s="19"/>
      <c r="BN6" s="19" t="b">
        <v>0</v>
      </c>
      <c r="BO6" s="18"/>
      <c r="BP6" s="19"/>
      <c r="BQ6" s="18" t="b">
        <v>1</v>
      </c>
      <c r="BR6" s="18" t="s">
        <v>48</v>
      </c>
      <c r="BS6" s="19"/>
      <c r="BT6" s="19" t="b">
        <v>0</v>
      </c>
      <c r="BU6" s="18" t="s">
        <v>57</v>
      </c>
      <c r="BV6" s="19"/>
      <c r="BW6" s="18" t="b">
        <v>1</v>
      </c>
      <c r="BX6" s="18" t="s">
        <v>52</v>
      </c>
      <c r="BY6" s="18" t="s">
        <v>60</v>
      </c>
      <c r="BZ6" s="19" t="b">
        <v>0</v>
      </c>
      <c r="CA6" s="18"/>
      <c r="CB6" s="19"/>
      <c r="CC6" s="20" t="b">
        <v>1</v>
      </c>
      <c r="CD6" s="18" t="s">
        <v>48</v>
      </c>
      <c r="CE6" s="27"/>
      <c r="CF6" s="18" t="b">
        <v>1</v>
      </c>
      <c r="CG6" s="18" t="s">
        <v>47</v>
      </c>
      <c r="CH6" s="18"/>
      <c r="CI6" s="18" t="b">
        <v>1</v>
      </c>
      <c r="CJ6" s="18" t="s">
        <v>48</v>
      </c>
      <c r="CK6" s="19"/>
      <c r="CL6" s="18" t="b">
        <v>1</v>
      </c>
      <c r="CM6" s="18" t="s">
        <v>57</v>
      </c>
      <c r="CN6" s="19"/>
    </row>
    <row r="7">
      <c r="A7" s="22">
        <v>4.0</v>
      </c>
      <c r="B7" s="22" t="s">
        <v>61</v>
      </c>
      <c r="C7" s="22" t="b">
        <v>1</v>
      </c>
      <c r="D7" s="22" t="s">
        <v>51</v>
      </c>
      <c r="E7" s="23"/>
      <c r="F7" s="23" t="b">
        <v>0</v>
      </c>
      <c r="G7" s="22"/>
      <c r="H7" s="23"/>
      <c r="I7" s="22" t="b">
        <v>1</v>
      </c>
      <c r="J7" s="22" t="s">
        <v>47</v>
      </c>
      <c r="K7" s="23"/>
      <c r="L7" s="22" t="b">
        <v>1</v>
      </c>
      <c r="M7" s="22" t="s">
        <v>51</v>
      </c>
      <c r="N7" s="22"/>
      <c r="O7" s="22" t="b">
        <v>1</v>
      </c>
      <c r="P7" s="22" t="s">
        <v>47</v>
      </c>
      <c r="Q7" s="23"/>
      <c r="R7" s="23" t="b">
        <v>0</v>
      </c>
      <c r="S7" s="22"/>
      <c r="T7" s="23"/>
      <c r="U7" s="22" t="b">
        <v>1</v>
      </c>
      <c r="V7" s="22" t="s">
        <v>47</v>
      </c>
      <c r="W7" s="23"/>
      <c r="X7" s="22" t="b">
        <v>1</v>
      </c>
      <c r="Y7" s="22" t="s">
        <v>51</v>
      </c>
      <c r="Z7" s="23"/>
      <c r="AA7" s="22" t="b">
        <v>1</v>
      </c>
      <c r="AB7" s="22" t="s">
        <v>51</v>
      </c>
      <c r="AC7" s="23"/>
      <c r="AD7" s="22" t="b">
        <v>1</v>
      </c>
      <c r="AE7" s="22" t="s">
        <v>54</v>
      </c>
      <c r="AF7" s="23"/>
      <c r="AG7" s="23" t="b">
        <v>0</v>
      </c>
      <c r="AH7" s="22"/>
      <c r="AI7" s="23"/>
      <c r="AJ7" s="22" t="b">
        <v>1</v>
      </c>
      <c r="AK7" s="22" t="s">
        <v>58</v>
      </c>
      <c r="AL7" s="23"/>
      <c r="AM7" s="22" t="b">
        <v>1</v>
      </c>
      <c r="AN7" s="22" t="s">
        <v>47</v>
      </c>
      <c r="AO7" s="23"/>
      <c r="AP7" s="22" t="b">
        <v>1</v>
      </c>
      <c r="AQ7" s="22" t="s">
        <v>48</v>
      </c>
      <c r="AR7" s="23"/>
      <c r="AS7" s="23" t="b">
        <v>0</v>
      </c>
      <c r="AT7" s="22"/>
      <c r="AU7" s="23"/>
      <c r="AV7" s="23" t="b">
        <v>0</v>
      </c>
      <c r="AW7" s="22"/>
      <c r="AX7" s="23"/>
      <c r="AY7" s="22" t="b">
        <v>1</v>
      </c>
      <c r="AZ7" s="22" t="s">
        <v>48</v>
      </c>
      <c r="BA7" s="23"/>
      <c r="BB7" s="23" t="b">
        <v>0</v>
      </c>
      <c r="BC7" s="22"/>
      <c r="BD7" s="23"/>
      <c r="BE7" s="22" t="b">
        <v>1</v>
      </c>
      <c r="BF7" s="22" t="s">
        <v>51</v>
      </c>
      <c r="BG7" s="23"/>
      <c r="BH7" s="22" t="b">
        <v>1</v>
      </c>
      <c r="BI7" s="22" t="s">
        <v>48</v>
      </c>
      <c r="BJ7" s="22"/>
      <c r="BK7" s="22" t="b">
        <v>1</v>
      </c>
      <c r="BL7" s="22" t="s">
        <v>48</v>
      </c>
      <c r="BM7" s="28" t="s">
        <v>62</v>
      </c>
      <c r="BN7" s="22" t="b">
        <v>1</v>
      </c>
      <c r="BO7" s="22" t="s">
        <v>58</v>
      </c>
      <c r="BP7" s="23"/>
      <c r="BQ7" s="22" t="b">
        <v>0</v>
      </c>
      <c r="BR7" s="22" t="s">
        <v>48</v>
      </c>
      <c r="BS7" s="23"/>
      <c r="BT7" s="22" t="b">
        <v>1</v>
      </c>
      <c r="BU7" s="22" t="s">
        <v>49</v>
      </c>
      <c r="BV7" s="23"/>
      <c r="BW7" s="22" t="b">
        <v>0</v>
      </c>
      <c r="BX7" s="22"/>
      <c r="BY7" s="23"/>
      <c r="BZ7" s="22" t="b">
        <v>1</v>
      </c>
      <c r="CA7" s="22" t="s">
        <v>48</v>
      </c>
      <c r="CB7" s="22" t="s">
        <v>63</v>
      </c>
      <c r="CC7" s="29" t="b">
        <v>1</v>
      </c>
      <c r="CD7" s="22" t="s">
        <v>48</v>
      </c>
      <c r="CE7" s="30" t="s">
        <v>64</v>
      </c>
      <c r="CF7" s="22" t="b">
        <v>0</v>
      </c>
      <c r="CG7" s="22"/>
      <c r="CH7" s="18"/>
      <c r="CI7" s="22" t="b">
        <v>1</v>
      </c>
      <c r="CJ7" s="22" t="s">
        <v>48</v>
      </c>
      <c r="CK7" s="18"/>
      <c r="CL7" s="22" t="b">
        <v>1</v>
      </c>
      <c r="CM7" s="22" t="s">
        <v>51</v>
      </c>
      <c r="CN7" s="18"/>
    </row>
    <row r="8">
      <c r="A8" s="18">
        <v>5.0</v>
      </c>
      <c r="B8" s="18" t="s">
        <v>65</v>
      </c>
      <c r="C8" s="18" t="b">
        <v>1</v>
      </c>
      <c r="D8" s="18" t="s">
        <v>47</v>
      </c>
      <c r="E8" s="19"/>
      <c r="F8" s="18" t="b">
        <v>1</v>
      </c>
      <c r="G8" s="18" t="s">
        <v>51</v>
      </c>
      <c r="H8" s="26" t="s">
        <v>66</v>
      </c>
      <c r="I8" s="19" t="b">
        <v>0</v>
      </c>
      <c r="J8" s="18"/>
      <c r="K8" s="19"/>
      <c r="L8" s="19" t="b">
        <v>0</v>
      </c>
      <c r="M8" s="18"/>
      <c r="N8" s="18"/>
      <c r="O8" s="19" t="b">
        <v>0</v>
      </c>
      <c r="P8" s="18"/>
      <c r="Q8" s="19"/>
      <c r="R8" s="18" t="b">
        <v>0</v>
      </c>
      <c r="S8" s="18"/>
      <c r="T8" s="26" t="s">
        <v>67</v>
      </c>
      <c r="U8" s="18" t="b">
        <v>0</v>
      </c>
      <c r="V8" s="18"/>
      <c r="W8" s="19"/>
      <c r="X8" s="19" t="b">
        <v>0</v>
      </c>
      <c r="Y8" s="18"/>
      <c r="Z8" s="19"/>
      <c r="AA8" s="19" t="b">
        <v>0</v>
      </c>
      <c r="AB8" s="18"/>
      <c r="AC8" s="19"/>
      <c r="AD8" s="19" t="b">
        <v>0</v>
      </c>
      <c r="AE8" s="18"/>
      <c r="AF8" s="19"/>
      <c r="AG8" s="19" t="b">
        <v>0</v>
      </c>
      <c r="AH8" s="18"/>
      <c r="AI8" s="19"/>
      <c r="AJ8" s="19" t="b">
        <v>0</v>
      </c>
      <c r="AK8" s="18"/>
      <c r="AL8" s="19"/>
      <c r="AM8" s="19" t="b">
        <v>0</v>
      </c>
      <c r="AN8" s="18"/>
      <c r="AO8" s="19"/>
      <c r="AP8" s="18" t="b">
        <v>1</v>
      </c>
      <c r="AQ8" s="18" t="s">
        <v>55</v>
      </c>
      <c r="AR8" s="19"/>
      <c r="AS8" s="19" t="b">
        <v>0</v>
      </c>
      <c r="AT8" s="18"/>
      <c r="AU8" s="19"/>
      <c r="AV8" s="18" t="b">
        <v>1</v>
      </c>
      <c r="AW8" s="18" t="s">
        <v>57</v>
      </c>
      <c r="AX8" s="19"/>
      <c r="AY8" s="19" t="b">
        <v>0</v>
      </c>
      <c r="AZ8" s="18"/>
      <c r="BA8" s="19"/>
      <c r="BB8" s="19" t="b">
        <v>0</v>
      </c>
      <c r="BC8" s="18"/>
      <c r="BD8" s="19"/>
      <c r="BE8" s="19" t="b">
        <v>0</v>
      </c>
      <c r="BF8" s="18"/>
      <c r="BG8" s="19"/>
      <c r="BH8" s="19" t="b">
        <v>0</v>
      </c>
      <c r="BI8" s="18"/>
      <c r="BJ8" s="19"/>
      <c r="BK8" s="19" t="b">
        <v>0</v>
      </c>
      <c r="BL8" s="18"/>
      <c r="BM8" s="19"/>
      <c r="BN8" s="19" t="b">
        <v>0</v>
      </c>
      <c r="BO8" s="18"/>
      <c r="BP8" s="19"/>
      <c r="BQ8" s="19" t="b">
        <v>0</v>
      </c>
      <c r="BR8" s="18"/>
      <c r="BS8" s="19"/>
      <c r="BT8" s="19" t="b">
        <v>0</v>
      </c>
      <c r="BU8" s="18"/>
      <c r="BV8" s="19"/>
      <c r="BW8" s="19" t="b">
        <v>0</v>
      </c>
      <c r="BX8" s="18"/>
      <c r="BY8" s="19"/>
      <c r="BZ8" s="19" t="b">
        <v>0</v>
      </c>
      <c r="CA8" s="18"/>
      <c r="CB8" s="19"/>
      <c r="CC8" s="31" t="b">
        <v>0</v>
      </c>
      <c r="CD8" s="18"/>
      <c r="CE8" s="27"/>
      <c r="CF8" s="18" t="b">
        <v>1</v>
      </c>
      <c r="CG8" s="18"/>
      <c r="CH8" s="19"/>
      <c r="CI8" s="19" t="b">
        <v>0</v>
      </c>
      <c r="CJ8" s="18"/>
      <c r="CK8" s="19"/>
      <c r="CL8" s="19" t="b">
        <v>0</v>
      </c>
      <c r="CM8" s="18"/>
      <c r="CN8" s="19"/>
    </row>
    <row r="9">
      <c r="A9" s="22">
        <v>6.0</v>
      </c>
      <c r="B9" s="22" t="s">
        <v>68</v>
      </c>
      <c r="C9" s="22" t="b">
        <v>1</v>
      </c>
      <c r="D9" s="22" t="s">
        <v>47</v>
      </c>
      <c r="E9" s="23"/>
      <c r="F9" s="22" t="b">
        <v>1</v>
      </c>
      <c r="G9" s="22" t="s">
        <v>47</v>
      </c>
      <c r="H9" s="23"/>
      <c r="I9" s="23" t="b">
        <v>0</v>
      </c>
      <c r="J9" s="22"/>
      <c r="K9" s="23"/>
      <c r="L9" s="22" t="b">
        <v>1</v>
      </c>
      <c r="M9" s="22" t="s">
        <v>58</v>
      </c>
      <c r="N9" s="22"/>
      <c r="O9" s="22" t="b">
        <v>1</v>
      </c>
      <c r="P9" s="22" t="s">
        <v>47</v>
      </c>
      <c r="Q9" s="23"/>
      <c r="R9" s="22" t="b">
        <v>1</v>
      </c>
      <c r="S9" s="22" t="s">
        <v>47</v>
      </c>
      <c r="T9" s="23"/>
      <c r="U9" s="23" t="b">
        <v>0</v>
      </c>
      <c r="V9" s="23"/>
      <c r="W9" s="23"/>
      <c r="X9" s="22" t="b">
        <v>1</v>
      </c>
      <c r="Y9" s="22" t="s">
        <v>47</v>
      </c>
      <c r="Z9" s="23"/>
      <c r="AA9" s="22" t="b">
        <v>1</v>
      </c>
      <c r="AB9" s="22" t="s">
        <v>51</v>
      </c>
      <c r="AC9" s="23"/>
      <c r="AD9" s="22" t="b">
        <v>0</v>
      </c>
      <c r="AE9" s="23"/>
      <c r="AF9" s="23"/>
      <c r="AG9" s="23" t="b">
        <v>0</v>
      </c>
      <c r="AH9" s="23"/>
      <c r="AI9" s="23"/>
      <c r="AJ9" s="23" t="b">
        <v>0</v>
      </c>
      <c r="AK9" s="23"/>
      <c r="AL9" s="23"/>
      <c r="AM9" s="23" t="b">
        <v>0</v>
      </c>
      <c r="AN9" s="23"/>
      <c r="AO9" s="23"/>
      <c r="AP9" s="22" t="b">
        <v>1</v>
      </c>
      <c r="AQ9" s="22" t="s">
        <v>55</v>
      </c>
      <c r="AR9" s="23"/>
      <c r="AS9" s="23" t="b">
        <v>0</v>
      </c>
      <c r="AT9" s="23"/>
      <c r="AU9" s="23"/>
      <c r="AV9" s="22" t="b">
        <v>1</v>
      </c>
      <c r="AW9" s="22" t="s">
        <v>57</v>
      </c>
      <c r="AX9" s="23"/>
      <c r="AY9" s="22" t="b">
        <v>1</v>
      </c>
      <c r="AZ9" s="22" t="s">
        <v>48</v>
      </c>
      <c r="BA9" s="23"/>
      <c r="BB9" s="23" t="b">
        <v>0</v>
      </c>
      <c r="BC9" s="23"/>
      <c r="BD9" s="23"/>
      <c r="BE9" s="23" t="b">
        <v>0</v>
      </c>
      <c r="BF9" s="23"/>
      <c r="BG9" s="23"/>
      <c r="BH9" s="22" t="b">
        <v>1</v>
      </c>
      <c r="BI9" s="22" t="s">
        <v>48</v>
      </c>
      <c r="BJ9" s="23"/>
      <c r="BK9" s="23" t="b">
        <v>0</v>
      </c>
      <c r="BL9" s="23"/>
      <c r="BM9" s="23"/>
      <c r="BN9" s="23" t="b">
        <v>0</v>
      </c>
      <c r="BO9" s="23"/>
      <c r="BP9" s="23"/>
      <c r="BQ9" s="23" t="b">
        <v>0</v>
      </c>
      <c r="BR9" s="23"/>
      <c r="BS9" s="23"/>
      <c r="BT9" s="23" t="b">
        <v>0</v>
      </c>
      <c r="BU9" s="23"/>
      <c r="BV9" s="23"/>
      <c r="BW9" s="23" t="b">
        <v>0</v>
      </c>
      <c r="BX9" s="23"/>
      <c r="BY9" s="23"/>
      <c r="BZ9" s="23" t="b">
        <v>0</v>
      </c>
      <c r="CA9" s="23"/>
      <c r="CB9" s="23"/>
      <c r="CC9" s="32" t="b">
        <v>0</v>
      </c>
      <c r="CD9" s="23"/>
      <c r="CE9" s="33"/>
      <c r="CF9" s="22" t="b">
        <v>1</v>
      </c>
      <c r="CG9" s="23"/>
      <c r="CH9" s="23"/>
      <c r="CI9" s="23" t="b">
        <v>0</v>
      </c>
      <c r="CJ9" s="23"/>
      <c r="CK9" s="23"/>
      <c r="CL9" s="23" t="b">
        <v>0</v>
      </c>
      <c r="CM9" s="23"/>
      <c r="CN9" s="23"/>
    </row>
    <row r="10">
      <c r="A10" s="18">
        <v>7.0</v>
      </c>
      <c r="B10" s="18" t="s">
        <v>69</v>
      </c>
      <c r="C10" s="18" t="b">
        <v>1</v>
      </c>
      <c r="D10" s="18" t="s">
        <v>47</v>
      </c>
      <c r="E10" s="19"/>
      <c r="F10" s="19" t="b">
        <v>0</v>
      </c>
      <c r="G10" s="19"/>
      <c r="H10" s="19"/>
      <c r="I10" s="19" t="b">
        <v>0</v>
      </c>
      <c r="J10" s="19"/>
      <c r="K10" s="19"/>
      <c r="L10" s="19" t="b">
        <v>0</v>
      </c>
      <c r="M10" s="19"/>
      <c r="N10" s="19"/>
      <c r="O10" s="19" t="b">
        <v>0</v>
      </c>
      <c r="P10" s="19"/>
      <c r="Q10" s="19"/>
      <c r="R10" s="19" t="b">
        <v>0</v>
      </c>
      <c r="S10" s="19"/>
      <c r="T10" s="19"/>
      <c r="U10" s="19" t="b">
        <v>0</v>
      </c>
      <c r="V10" s="19"/>
      <c r="W10" s="19"/>
      <c r="X10" s="18" t="b">
        <v>1</v>
      </c>
      <c r="Y10" s="18" t="s">
        <v>58</v>
      </c>
      <c r="Z10" s="26" t="s">
        <v>70</v>
      </c>
      <c r="AA10" s="19" t="b">
        <v>0</v>
      </c>
      <c r="AB10" s="19"/>
      <c r="AC10" s="19"/>
      <c r="AD10" s="19" t="b">
        <v>0</v>
      </c>
      <c r="AE10" s="19"/>
      <c r="AF10" s="19"/>
      <c r="AG10" s="19" t="b">
        <v>0</v>
      </c>
      <c r="AH10" s="19"/>
      <c r="AI10" s="19"/>
      <c r="AJ10" s="19" t="b">
        <v>0</v>
      </c>
      <c r="AK10" s="19"/>
      <c r="AL10" s="19"/>
      <c r="AM10" s="19" t="b">
        <v>0</v>
      </c>
      <c r="AN10" s="19"/>
      <c r="AO10" s="19"/>
      <c r="AP10" s="19" t="b">
        <v>0</v>
      </c>
      <c r="AQ10" s="19"/>
      <c r="AR10" s="19"/>
      <c r="AS10" s="19" t="b">
        <v>0</v>
      </c>
      <c r="AT10" s="19"/>
      <c r="AU10" s="19"/>
      <c r="AV10" s="18" t="b">
        <v>1</v>
      </c>
      <c r="AW10" s="18" t="s">
        <v>48</v>
      </c>
      <c r="AX10" s="19"/>
      <c r="AY10" s="19" t="b">
        <v>0</v>
      </c>
      <c r="AZ10" s="19"/>
      <c r="BA10" s="19"/>
      <c r="BB10" s="18" t="b">
        <v>1</v>
      </c>
      <c r="BC10" s="18" t="s">
        <v>57</v>
      </c>
      <c r="BD10" s="19"/>
      <c r="BE10" s="19" t="b">
        <v>0</v>
      </c>
      <c r="BF10" s="19"/>
      <c r="BG10" s="19"/>
      <c r="BH10" s="18" t="b">
        <v>1</v>
      </c>
      <c r="BI10" s="18" t="s">
        <v>48</v>
      </c>
      <c r="BJ10" s="19"/>
      <c r="BK10" s="19" t="b">
        <v>0</v>
      </c>
      <c r="BL10" s="19"/>
      <c r="BM10" s="19"/>
      <c r="BN10" s="19" t="b">
        <v>0</v>
      </c>
      <c r="BO10" s="19"/>
      <c r="BP10" s="19"/>
      <c r="BQ10" s="19" t="b">
        <v>0</v>
      </c>
      <c r="BR10" s="19"/>
      <c r="BS10" s="19"/>
      <c r="BT10" s="18" t="b">
        <v>0</v>
      </c>
      <c r="BU10" s="18"/>
      <c r="BV10" s="19"/>
      <c r="BW10" s="18" t="b">
        <v>0</v>
      </c>
      <c r="BX10" s="18"/>
      <c r="BY10" s="19"/>
      <c r="BZ10" s="18" t="b">
        <v>0</v>
      </c>
      <c r="CA10" s="18"/>
      <c r="CB10" s="19"/>
      <c r="CC10" s="20" t="b">
        <v>0</v>
      </c>
      <c r="CD10" s="18"/>
      <c r="CE10" s="21"/>
      <c r="CF10" s="18" t="b">
        <v>0</v>
      </c>
      <c r="CG10" s="18"/>
      <c r="CH10" s="18"/>
      <c r="CI10" s="18" t="b">
        <v>0</v>
      </c>
      <c r="CJ10" s="18"/>
      <c r="CK10" s="18"/>
      <c r="CL10" s="18" t="b">
        <v>1</v>
      </c>
      <c r="CM10" s="18" t="s">
        <v>51</v>
      </c>
      <c r="CN10" s="18" t="s">
        <v>71</v>
      </c>
    </row>
    <row r="11">
      <c r="A11" s="22">
        <v>8.0</v>
      </c>
      <c r="B11" s="22" t="s">
        <v>72</v>
      </c>
      <c r="C11" s="23" t="b">
        <v>0</v>
      </c>
      <c r="D11" s="23"/>
      <c r="E11" s="23"/>
      <c r="F11" s="23" t="b">
        <v>0</v>
      </c>
      <c r="G11" s="23"/>
      <c r="H11" s="23"/>
      <c r="I11" s="22" t="b">
        <v>1</v>
      </c>
      <c r="J11" s="22" t="s">
        <v>54</v>
      </c>
      <c r="K11" s="23"/>
      <c r="L11" s="22" t="b">
        <v>0</v>
      </c>
      <c r="M11" s="23"/>
      <c r="N11" s="23"/>
      <c r="O11" s="22" t="b">
        <v>0</v>
      </c>
      <c r="P11" s="23"/>
      <c r="Q11" s="23"/>
      <c r="R11" s="23" t="b">
        <v>0</v>
      </c>
      <c r="S11" s="23"/>
      <c r="T11" s="23"/>
      <c r="U11" s="23" t="b">
        <v>0</v>
      </c>
      <c r="V11" s="23"/>
      <c r="W11" s="23"/>
      <c r="X11" s="23" t="b">
        <v>0</v>
      </c>
      <c r="Y11" s="23"/>
      <c r="Z11" s="23"/>
      <c r="AA11" s="22" t="b">
        <v>1</v>
      </c>
      <c r="AB11" s="22" t="s">
        <v>51</v>
      </c>
      <c r="AC11" s="23"/>
      <c r="AD11" s="23" t="b">
        <v>0</v>
      </c>
      <c r="AE11" s="23"/>
      <c r="AF11" s="23"/>
      <c r="AG11" s="23" t="b">
        <v>0</v>
      </c>
      <c r="AH11" s="23"/>
      <c r="AI11" s="23"/>
      <c r="AJ11" s="23" t="b">
        <v>0</v>
      </c>
      <c r="AK11" s="23"/>
      <c r="AL11" s="23"/>
      <c r="AM11" s="23" t="b">
        <v>0</v>
      </c>
      <c r="AN11" s="23"/>
      <c r="AO11" s="23"/>
      <c r="AP11" s="23" t="b">
        <v>0</v>
      </c>
      <c r="AQ11" s="23"/>
      <c r="AR11" s="23"/>
      <c r="AS11" s="23" t="b">
        <v>0</v>
      </c>
      <c r="AT11" s="23"/>
      <c r="AU11" s="23"/>
      <c r="AV11" s="23" t="b">
        <v>0</v>
      </c>
      <c r="AW11" s="23"/>
      <c r="AX11" s="23"/>
      <c r="AY11" s="23" t="b">
        <v>0</v>
      </c>
      <c r="AZ11" s="23"/>
      <c r="BA11" s="23"/>
      <c r="BB11" s="23" t="b">
        <v>0</v>
      </c>
      <c r="BC11" s="23"/>
      <c r="BD11" s="23"/>
      <c r="BE11" s="22" t="b">
        <v>1</v>
      </c>
      <c r="BF11" s="22" t="s">
        <v>48</v>
      </c>
      <c r="BG11" s="23"/>
      <c r="BH11" s="23" t="b">
        <v>0</v>
      </c>
      <c r="BI11" s="23"/>
      <c r="BJ11" s="23"/>
      <c r="BK11" s="23" t="b">
        <v>0</v>
      </c>
      <c r="BL11" s="22" t="s">
        <v>48</v>
      </c>
      <c r="BM11" s="23"/>
      <c r="BN11" s="22" t="b">
        <v>1</v>
      </c>
      <c r="BO11" s="22" t="s">
        <v>48</v>
      </c>
      <c r="BP11" s="23"/>
      <c r="BQ11" s="22" t="b">
        <v>0</v>
      </c>
      <c r="BR11" s="22"/>
      <c r="BS11" s="23"/>
      <c r="BT11" s="22" t="b">
        <v>0</v>
      </c>
      <c r="BU11" s="22"/>
      <c r="BV11" s="23"/>
      <c r="BW11" s="22" t="b">
        <v>0</v>
      </c>
      <c r="BX11" s="22"/>
      <c r="BY11" s="23"/>
      <c r="BZ11" s="22" t="b">
        <v>0</v>
      </c>
      <c r="CA11" s="22"/>
      <c r="CB11" s="23"/>
      <c r="CC11" s="24" t="b">
        <v>0</v>
      </c>
      <c r="CD11" s="22"/>
      <c r="CE11" s="25"/>
      <c r="CF11" s="22" t="b">
        <v>0</v>
      </c>
      <c r="CG11" s="22"/>
      <c r="CH11" s="23"/>
      <c r="CI11" s="22" t="b">
        <v>0</v>
      </c>
      <c r="CJ11" s="22"/>
      <c r="CK11" s="23"/>
      <c r="CL11" s="22" t="b">
        <v>0</v>
      </c>
      <c r="CM11" s="22"/>
      <c r="CN11" s="23"/>
    </row>
    <row r="12">
      <c r="A12" s="18">
        <v>9.0</v>
      </c>
      <c r="B12" s="18" t="s">
        <v>73</v>
      </c>
      <c r="C12" s="19" t="b">
        <v>0</v>
      </c>
      <c r="D12" s="19"/>
      <c r="E12" s="19"/>
      <c r="F12" s="19" t="b">
        <v>0</v>
      </c>
      <c r="G12" s="19"/>
      <c r="H12" s="19"/>
      <c r="I12" s="18" t="b">
        <v>1</v>
      </c>
      <c r="J12" s="18" t="s">
        <v>47</v>
      </c>
      <c r="K12" s="19"/>
      <c r="L12" s="18" t="b">
        <v>1</v>
      </c>
      <c r="M12" s="18" t="s">
        <v>58</v>
      </c>
      <c r="N12" s="18" t="s">
        <v>74</v>
      </c>
      <c r="O12" s="18" t="b">
        <v>0</v>
      </c>
      <c r="P12" s="19"/>
      <c r="Q12" s="19"/>
      <c r="R12" s="19" t="b">
        <v>0</v>
      </c>
      <c r="S12" s="19"/>
      <c r="T12" s="19"/>
      <c r="U12" s="19" t="b">
        <v>0</v>
      </c>
      <c r="V12" s="19"/>
      <c r="W12" s="19"/>
      <c r="X12" s="19" t="b">
        <v>0</v>
      </c>
      <c r="Y12" s="19"/>
      <c r="Z12" s="19"/>
      <c r="AA12" s="19" t="b">
        <v>0</v>
      </c>
      <c r="AB12" s="19"/>
      <c r="AC12" s="19"/>
      <c r="AD12" s="19" t="b">
        <v>0</v>
      </c>
      <c r="AE12" s="19"/>
      <c r="AF12" s="19"/>
      <c r="AG12" s="19" t="b">
        <v>0</v>
      </c>
      <c r="AH12" s="19"/>
      <c r="AI12" s="19"/>
      <c r="AJ12" s="19" t="b">
        <v>0</v>
      </c>
      <c r="AK12" s="19"/>
      <c r="AL12" s="19"/>
      <c r="AM12" s="18" t="b">
        <v>1</v>
      </c>
      <c r="AN12" s="18" t="s">
        <v>57</v>
      </c>
      <c r="AO12" s="19"/>
      <c r="AP12" s="19" t="b">
        <v>0</v>
      </c>
      <c r="AQ12" s="19"/>
      <c r="AR12" s="19"/>
      <c r="AS12" s="19" t="b">
        <v>0</v>
      </c>
      <c r="AT12" s="19"/>
      <c r="AU12" s="19"/>
      <c r="AV12" s="19" t="b">
        <v>0</v>
      </c>
      <c r="AW12" s="19"/>
      <c r="AX12" s="19"/>
      <c r="AY12" s="19" t="b">
        <v>0</v>
      </c>
      <c r="AZ12" s="19"/>
      <c r="BA12" s="19"/>
      <c r="BB12" s="19" t="b">
        <v>0</v>
      </c>
      <c r="BC12" s="19"/>
      <c r="BD12" s="19"/>
      <c r="BE12" s="19" t="b">
        <v>0</v>
      </c>
      <c r="BF12" s="19"/>
      <c r="BG12" s="19"/>
      <c r="BH12" s="19" t="b">
        <v>0</v>
      </c>
      <c r="BI12" s="19"/>
      <c r="BJ12" s="19"/>
      <c r="BK12" s="19" t="b">
        <v>0</v>
      </c>
      <c r="BL12" s="19"/>
      <c r="BM12" s="19"/>
      <c r="BN12" s="18" t="b">
        <v>1</v>
      </c>
      <c r="BO12" s="18" t="s">
        <v>58</v>
      </c>
      <c r="BP12" s="19"/>
      <c r="BQ12" s="18" t="b">
        <v>0</v>
      </c>
      <c r="BR12" s="18"/>
      <c r="BS12" s="19"/>
      <c r="BT12" s="18" t="b">
        <v>0</v>
      </c>
      <c r="BU12" s="18"/>
      <c r="BV12" s="19"/>
      <c r="BW12" s="18" t="b">
        <v>0</v>
      </c>
      <c r="BX12" s="18"/>
      <c r="BY12" s="19"/>
      <c r="BZ12" s="18" t="b">
        <v>0</v>
      </c>
      <c r="CA12" s="18"/>
      <c r="CB12" s="19"/>
      <c r="CC12" s="34" t="b">
        <v>0</v>
      </c>
      <c r="CD12" s="18"/>
      <c r="CE12" s="21"/>
      <c r="CF12" s="18" t="b">
        <v>0</v>
      </c>
      <c r="CG12" s="18"/>
      <c r="CH12" s="19"/>
      <c r="CI12" s="18" t="b">
        <v>0</v>
      </c>
      <c r="CJ12" s="18"/>
      <c r="CK12" s="19"/>
      <c r="CL12" s="18" t="b">
        <v>0</v>
      </c>
      <c r="CM12" s="18"/>
      <c r="CN12" s="19"/>
    </row>
    <row r="13">
      <c r="A13" s="22">
        <v>10.0</v>
      </c>
      <c r="B13" s="22" t="s">
        <v>75</v>
      </c>
      <c r="C13" s="23" t="b">
        <v>0</v>
      </c>
      <c r="D13" s="23"/>
      <c r="E13" s="23"/>
      <c r="F13" s="23" t="b">
        <v>0</v>
      </c>
      <c r="G13" s="23"/>
      <c r="H13" s="23"/>
      <c r="I13" s="22" t="b">
        <v>1</v>
      </c>
      <c r="J13" s="22" t="s">
        <v>47</v>
      </c>
      <c r="K13" s="23"/>
      <c r="L13" s="23" t="b">
        <v>0</v>
      </c>
      <c r="M13" s="23"/>
      <c r="N13" s="23"/>
      <c r="O13" s="22" t="b">
        <v>0</v>
      </c>
      <c r="P13" s="23"/>
      <c r="Q13" s="23"/>
      <c r="R13" s="23" t="b">
        <v>0</v>
      </c>
      <c r="S13" s="23"/>
      <c r="T13" s="23"/>
      <c r="U13" s="23" t="b">
        <v>0</v>
      </c>
      <c r="V13" s="23"/>
      <c r="W13" s="23"/>
      <c r="X13" s="23" t="b">
        <v>0</v>
      </c>
      <c r="Y13" s="23"/>
      <c r="Z13" s="23"/>
      <c r="AA13" s="23" t="b">
        <v>0</v>
      </c>
      <c r="AB13" s="23"/>
      <c r="AC13" s="23"/>
      <c r="AD13" s="23" t="b">
        <v>0</v>
      </c>
      <c r="AE13" s="23"/>
      <c r="AF13" s="23"/>
      <c r="AG13" s="23" t="b">
        <v>0</v>
      </c>
      <c r="AH13" s="23"/>
      <c r="AI13" s="23"/>
      <c r="AJ13" s="23" t="b">
        <v>0</v>
      </c>
      <c r="AK13" s="23"/>
      <c r="AL13" s="23"/>
      <c r="AM13" s="22" t="b">
        <v>1</v>
      </c>
      <c r="AN13" s="22" t="s">
        <v>57</v>
      </c>
      <c r="AO13" s="23"/>
      <c r="AP13" s="23" t="b">
        <v>0</v>
      </c>
      <c r="AQ13" s="23"/>
      <c r="AR13" s="23"/>
      <c r="AS13" s="23" t="b">
        <v>0</v>
      </c>
      <c r="AT13" s="23"/>
      <c r="AU13" s="23"/>
      <c r="AV13" s="23" t="b">
        <v>0</v>
      </c>
      <c r="AW13" s="23"/>
      <c r="AX13" s="23"/>
      <c r="AY13" s="23" t="b">
        <v>0</v>
      </c>
      <c r="AZ13" s="23"/>
      <c r="BA13" s="23"/>
      <c r="BB13" s="23" t="b">
        <v>0</v>
      </c>
      <c r="BC13" s="23"/>
      <c r="BD13" s="23"/>
      <c r="BE13" s="23" t="b">
        <v>0</v>
      </c>
      <c r="BF13" s="23"/>
      <c r="BG13" s="23"/>
      <c r="BH13" s="23" t="b">
        <v>0</v>
      </c>
      <c r="BI13" s="23"/>
      <c r="BJ13" s="23"/>
      <c r="BK13" s="23" t="b">
        <v>0</v>
      </c>
      <c r="BL13" s="23"/>
      <c r="BM13" s="23"/>
      <c r="BN13" s="23" t="b">
        <v>0</v>
      </c>
      <c r="BO13" s="23"/>
      <c r="BP13" s="23"/>
      <c r="BQ13" s="23" t="b">
        <v>0</v>
      </c>
      <c r="BR13" s="23"/>
      <c r="BS13" s="23"/>
      <c r="BT13" s="23" t="b">
        <v>0</v>
      </c>
      <c r="BU13" s="23"/>
      <c r="BV13" s="23"/>
      <c r="BW13" s="23" t="b">
        <v>0</v>
      </c>
      <c r="BX13" s="23"/>
      <c r="BY13" s="23"/>
      <c r="BZ13" s="23" t="b">
        <v>0</v>
      </c>
      <c r="CA13" s="23"/>
      <c r="CB13" s="23"/>
      <c r="CC13" s="32" t="b">
        <v>0</v>
      </c>
      <c r="CD13" s="23"/>
      <c r="CE13" s="33"/>
      <c r="CF13" s="23" t="b">
        <v>0</v>
      </c>
      <c r="CG13" s="23"/>
      <c r="CH13" s="23"/>
      <c r="CI13" s="23" t="b">
        <v>0</v>
      </c>
      <c r="CJ13" s="23"/>
      <c r="CK13" s="23"/>
      <c r="CL13" s="23" t="b">
        <v>0</v>
      </c>
      <c r="CM13" s="23"/>
      <c r="CN13" s="23"/>
    </row>
    <row r="14">
      <c r="A14" s="18">
        <v>11.0</v>
      </c>
      <c r="B14" s="18" t="s">
        <v>76</v>
      </c>
      <c r="C14" s="18" t="b">
        <v>0</v>
      </c>
      <c r="D14" s="19"/>
      <c r="E14" s="19"/>
      <c r="F14" s="19" t="b">
        <v>0</v>
      </c>
      <c r="G14" s="19"/>
      <c r="H14" s="19"/>
      <c r="I14" s="18" t="b">
        <v>1</v>
      </c>
      <c r="J14" s="18" t="s">
        <v>48</v>
      </c>
      <c r="K14" s="19"/>
      <c r="L14" s="18" t="b">
        <v>0</v>
      </c>
      <c r="M14" s="19"/>
      <c r="N14" s="19"/>
      <c r="O14" s="18" t="b">
        <v>0</v>
      </c>
      <c r="P14" s="19"/>
      <c r="Q14" s="19"/>
      <c r="R14" s="19" t="b">
        <v>0</v>
      </c>
      <c r="S14" s="19"/>
      <c r="T14" s="19"/>
      <c r="U14" s="19" t="b">
        <v>0</v>
      </c>
      <c r="V14" s="19"/>
      <c r="W14" s="19"/>
      <c r="X14" s="18" t="b">
        <v>1</v>
      </c>
      <c r="Y14" s="18" t="s">
        <v>48</v>
      </c>
      <c r="Z14" s="19"/>
      <c r="AA14" s="19" t="b">
        <v>0</v>
      </c>
      <c r="AB14" s="19"/>
      <c r="AC14" s="19"/>
      <c r="AD14" s="19" t="b">
        <v>0</v>
      </c>
      <c r="AE14" s="19"/>
      <c r="AF14" s="19"/>
      <c r="AG14" s="19" t="b">
        <v>0</v>
      </c>
      <c r="AH14" s="19"/>
      <c r="AI14" s="19"/>
      <c r="AJ14" s="18" t="b">
        <v>1</v>
      </c>
      <c r="AK14" s="18" t="s">
        <v>48</v>
      </c>
      <c r="AL14" s="19"/>
      <c r="AM14" s="19" t="b">
        <v>0</v>
      </c>
      <c r="AN14" s="19"/>
      <c r="AO14" s="19"/>
      <c r="AP14" s="19" t="b">
        <v>0</v>
      </c>
      <c r="AQ14" s="19"/>
      <c r="AR14" s="19"/>
      <c r="AS14" s="19" t="b">
        <v>0</v>
      </c>
      <c r="AT14" s="19"/>
      <c r="AU14" s="19"/>
      <c r="AV14" s="19" t="b">
        <v>0</v>
      </c>
      <c r="AW14" s="19"/>
      <c r="AX14" s="19"/>
      <c r="AY14" s="19" t="b">
        <v>0</v>
      </c>
      <c r="AZ14" s="19"/>
      <c r="BA14" s="19"/>
      <c r="BB14" s="19" t="b">
        <v>0</v>
      </c>
      <c r="BC14" s="19"/>
      <c r="BD14" s="19"/>
      <c r="BE14" s="18" t="b">
        <v>1</v>
      </c>
      <c r="BF14" s="18" t="s">
        <v>55</v>
      </c>
      <c r="BG14" s="19"/>
      <c r="BH14" s="18" t="b">
        <v>0</v>
      </c>
      <c r="BI14" s="18"/>
      <c r="BJ14" s="18"/>
      <c r="BK14" s="18" t="b">
        <v>0</v>
      </c>
      <c r="BL14" s="18"/>
      <c r="BM14" s="18"/>
      <c r="BN14" s="18" t="b">
        <v>0</v>
      </c>
      <c r="BO14" s="18"/>
      <c r="BP14" s="19"/>
      <c r="BQ14" s="18" t="b">
        <v>0</v>
      </c>
      <c r="BR14" s="18"/>
      <c r="BS14" s="19"/>
      <c r="BT14" s="18" t="b">
        <v>0</v>
      </c>
      <c r="BU14" s="18"/>
      <c r="BV14" s="19"/>
      <c r="BW14" s="18" t="b">
        <v>0</v>
      </c>
      <c r="BX14" s="18"/>
      <c r="BY14" s="19"/>
      <c r="BZ14" s="18" t="b">
        <v>1</v>
      </c>
      <c r="CA14" s="18" t="s">
        <v>48</v>
      </c>
      <c r="CB14" s="19"/>
      <c r="CC14" s="34" t="b">
        <v>0</v>
      </c>
      <c r="CD14" s="18"/>
      <c r="CE14" s="21"/>
      <c r="CF14" s="18" t="b">
        <v>0</v>
      </c>
      <c r="CG14" s="18"/>
      <c r="CH14" s="19"/>
      <c r="CI14" s="18" t="b">
        <v>0</v>
      </c>
      <c r="CJ14" s="18"/>
      <c r="CK14" s="19"/>
      <c r="CL14" s="18" t="b">
        <v>0</v>
      </c>
      <c r="CM14" s="18"/>
      <c r="CN14" s="19"/>
    </row>
    <row r="15">
      <c r="A15" s="22">
        <v>12.0</v>
      </c>
      <c r="B15" s="22" t="s">
        <v>77</v>
      </c>
      <c r="C15" s="22" t="b">
        <v>1</v>
      </c>
      <c r="D15" s="22" t="s">
        <v>51</v>
      </c>
      <c r="E15" s="23"/>
      <c r="F15" s="23" t="b">
        <v>0</v>
      </c>
      <c r="G15" s="23"/>
      <c r="H15" s="23"/>
      <c r="I15" s="22" t="b">
        <v>1</v>
      </c>
      <c r="J15" s="22" t="s">
        <v>78</v>
      </c>
      <c r="K15" s="23"/>
      <c r="L15" s="22" t="b">
        <v>1</v>
      </c>
      <c r="M15" s="22" t="s">
        <v>51</v>
      </c>
      <c r="N15" s="22"/>
      <c r="O15" s="22" t="b">
        <v>1</v>
      </c>
      <c r="P15" s="22" t="s">
        <v>51</v>
      </c>
      <c r="Q15" s="23"/>
      <c r="R15" s="23" t="b">
        <v>0</v>
      </c>
      <c r="S15" s="23"/>
      <c r="T15" s="23"/>
      <c r="U15" s="23" t="b">
        <v>0</v>
      </c>
      <c r="V15" s="23"/>
      <c r="W15" s="23"/>
      <c r="X15" s="23" t="b">
        <v>0</v>
      </c>
      <c r="Y15" s="23"/>
      <c r="Z15" s="23"/>
      <c r="AA15" s="23" t="b">
        <v>0</v>
      </c>
      <c r="AB15" s="23"/>
      <c r="AC15" s="23"/>
      <c r="AD15" s="23" t="b">
        <v>0</v>
      </c>
      <c r="AE15" s="23"/>
      <c r="AF15" s="23"/>
      <c r="AG15" s="23" t="b">
        <v>0</v>
      </c>
      <c r="AH15" s="23"/>
      <c r="AI15" s="23"/>
      <c r="AJ15" s="22" t="b">
        <v>1</v>
      </c>
      <c r="AK15" s="22" t="s">
        <v>51</v>
      </c>
      <c r="AL15" s="23"/>
      <c r="AM15" s="22" t="b">
        <v>1</v>
      </c>
      <c r="AN15" s="22" t="s">
        <v>48</v>
      </c>
      <c r="AO15" s="23"/>
      <c r="AP15" s="23" t="b">
        <v>0</v>
      </c>
      <c r="AQ15" s="23"/>
      <c r="AR15" s="23"/>
      <c r="AS15" s="23" t="b">
        <v>0</v>
      </c>
      <c r="AT15" s="23"/>
      <c r="AU15" s="23"/>
      <c r="AV15" s="23" t="b">
        <v>0</v>
      </c>
      <c r="AW15" s="23"/>
      <c r="AX15" s="23"/>
      <c r="AY15" s="23" t="b">
        <v>0</v>
      </c>
      <c r="AZ15" s="23"/>
      <c r="BA15" s="23"/>
      <c r="BB15" s="23" t="b">
        <v>0</v>
      </c>
      <c r="BC15" s="23"/>
      <c r="BD15" s="23"/>
      <c r="BE15" s="23" t="b">
        <v>0</v>
      </c>
      <c r="BF15" s="23"/>
      <c r="BG15" s="23"/>
      <c r="BH15" s="23" t="b">
        <v>0</v>
      </c>
      <c r="BI15" s="23"/>
      <c r="BJ15" s="23"/>
      <c r="BK15" s="22" t="b">
        <v>1</v>
      </c>
      <c r="BL15" s="22" t="s">
        <v>48</v>
      </c>
      <c r="BM15" s="23"/>
      <c r="BN15" s="23" t="b">
        <v>0</v>
      </c>
      <c r="BO15" s="23"/>
      <c r="BP15" s="23"/>
      <c r="BQ15" s="23" t="b">
        <v>0</v>
      </c>
      <c r="BR15" s="23"/>
      <c r="BS15" s="23"/>
      <c r="BT15" s="23" t="b">
        <v>0</v>
      </c>
      <c r="BU15" s="23"/>
      <c r="BV15" s="23"/>
      <c r="BW15" s="23" t="b">
        <v>0</v>
      </c>
      <c r="BX15" s="23"/>
      <c r="BY15" s="23"/>
      <c r="BZ15" s="23" t="b">
        <v>0</v>
      </c>
      <c r="CA15" s="23"/>
      <c r="CB15" s="23"/>
      <c r="CC15" s="32" t="b">
        <v>0</v>
      </c>
      <c r="CD15" s="23"/>
      <c r="CE15" s="33"/>
      <c r="CF15" s="23" t="b">
        <v>0</v>
      </c>
      <c r="CG15" s="23"/>
      <c r="CH15" s="23"/>
      <c r="CI15" s="23" t="b">
        <v>0</v>
      </c>
      <c r="CJ15" s="23"/>
      <c r="CK15" s="23"/>
      <c r="CL15" s="23" t="b">
        <v>0</v>
      </c>
      <c r="CM15" s="23"/>
      <c r="CN15" s="23"/>
    </row>
    <row r="16">
      <c r="A16" s="18">
        <v>13.0</v>
      </c>
      <c r="B16" s="18" t="s">
        <v>79</v>
      </c>
      <c r="C16" s="18" t="b">
        <v>1</v>
      </c>
      <c r="D16" s="18" t="s">
        <v>55</v>
      </c>
      <c r="E16" s="19"/>
      <c r="F16" s="19" t="b">
        <v>0</v>
      </c>
      <c r="G16" s="19"/>
      <c r="H16" s="19"/>
      <c r="I16" s="19" t="b">
        <v>0</v>
      </c>
      <c r="J16" s="19"/>
      <c r="K16" s="19"/>
      <c r="L16" s="19" t="b">
        <v>0</v>
      </c>
      <c r="M16" s="19"/>
      <c r="N16" s="19"/>
      <c r="O16" s="19" t="b">
        <v>0</v>
      </c>
      <c r="P16" s="19"/>
      <c r="Q16" s="19"/>
      <c r="R16" s="19" t="b">
        <v>0</v>
      </c>
      <c r="S16" s="19"/>
      <c r="T16" s="19"/>
      <c r="U16" s="19" t="b">
        <v>0</v>
      </c>
      <c r="V16" s="19"/>
      <c r="W16" s="19"/>
      <c r="X16" s="19" t="b">
        <v>0</v>
      </c>
      <c r="Y16" s="19"/>
      <c r="Z16" s="19"/>
      <c r="AA16" s="19" t="b">
        <v>0</v>
      </c>
      <c r="AB16" s="19"/>
      <c r="AC16" s="19"/>
      <c r="AD16" s="18" t="b">
        <v>1</v>
      </c>
      <c r="AE16" s="18" t="s">
        <v>80</v>
      </c>
      <c r="AF16" s="19"/>
      <c r="AG16" s="19" t="b">
        <v>0</v>
      </c>
      <c r="AH16" s="19"/>
      <c r="AI16" s="19"/>
      <c r="AJ16" s="19" t="b">
        <v>0</v>
      </c>
      <c r="AK16" s="19"/>
      <c r="AL16" s="19"/>
      <c r="AM16" s="19" t="b">
        <v>0</v>
      </c>
      <c r="AN16" s="19"/>
      <c r="AO16" s="19"/>
      <c r="AP16" s="19" t="b">
        <v>0</v>
      </c>
      <c r="AQ16" s="19"/>
      <c r="AR16" s="19"/>
      <c r="AS16" s="19" t="b">
        <v>0</v>
      </c>
      <c r="AT16" s="19"/>
      <c r="AU16" s="19"/>
      <c r="AV16" s="19" t="b">
        <v>0</v>
      </c>
      <c r="AW16" s="19"/>
      <c r="AX16" s="19"/>
      <c r="AY16" s="19" t="b">
        <v>0</v>
      </c>
      <c r="AZ16" s="19"/>
      <c r="BA16" s="19"/>
      <c r="BB16" s="19" t="b">
        <v>0</v>
      </c>
      <c r="BC16" s="19"/>
      <c r="BD16" s="19"/>
      <c r="BE16" s="19" t="b">
        <v>0</v>
      </c>
      <c r="BF16" s="19"/>
      <c r="BG16" s="19"/>
      <c r="BH16" s="19" t="b">
        <v>0</v>
      </c>
      <c r="BI16" s="19"/>
      <c r="BJ16" s="19"/>
      <c r="BK16" s="19" t="b">
        <v>0</v>
      </c>
      <c r="BL16" s="19"/>
      <c r="BM16" s="19"/>
      <c r="BN16" s="19" t="b">
        <v>0</v>
      </c>
      <c r="BO16" s="19"/>
      <c r="BP16" s="19"/>
      <c r="BQ16" s="19" t="b">
        <v>0</v>
      </c>
      <c r="BR16" s="19"/>
      <c r="BS16" s="19"/>
      <c r="BT16" s="19" t="b">
        <v>0</v>
      </c>
      <c r="BU16" s="19"/>
      <c r="BV16" s="19"/>
      <c r="BW16" s="19" t="b">
        <v>0</v>
      </c>
      <c r="BX16" s="19"/>
      <c r="BY16" s="19"/>
      <c r="BZ16" s="19" t="b">
        <v>0</v>
      </c>
      <c r="CA16" s="19"/>
      <c r="CB16" s="19"/>
      <c r="CC16" s="31" t="b">
        <v>0</v>
      </c>
      <c r="CD16" s="19"/>
      <c r="CE16" s="27"/>
      <c r="CF16" s="19" t="b">
        <v>0</v>
      </c>
      <c r="CG16" s="19"/>
      <c r="CH16" s="19"/>
      <c r="CI16" s="19" t="b">
        <v>0</v>
      </c>
      <c r="CJ16" s="19"/>
      <c r="CK16" s="19"/>
      <c r="CL16" s="19" t="b">
        <v>0</v>
      </c>
      <c r="CM16" s="19"/>
      <c r="CN16" s="19"/>
    </row>
    <row r="17">
      <c r="A17" s="22">
        <v>14.0</v>
      </c>
      <c r="B17" s="22" t="s">
        <v>81</v>
      </c>
      <c r="C17" s="22" t="b">
        <v>1</v>
      </c>
      <c r="D17" s="22" t="s">
        <v>51</v>
      </c>
      <c r="E17" s="23"/>
      <c r="F17" s="23" t="b">
        <v>0</v>
      </c>
      <c r="G17" s="23"/>
      <c r="H17" s="23"/>
      <c r="I17" s="23" t="b">
        <v>0</v>
      </c>
      <c r="J17" s="23"/>
      <c r="K17" s="23"/>
      <c r="L17" s="23" t="b">
        <v>0</v>
      </c>
      <c r="M17" s="23"/>
      <c r="N17" s="23"/>
      <c r="O17" s="23" t="b">
        <v>0</v>
      </c>
      <c r="P17" s="23"/>
      <c r="Q17" s="23"/>
      <c r="R17" s="23" t="b">
        <v>0</v>
      </c>
      <c r="S17" s="23"/>
      <c r="T17" s="23"/>
      <c r="U17" s="23" t="b">
        <v>0</v>
      </c>
      <c r="V17" s="23"/>
      <c r="W17" s="23"/>
      <c r="X17" s="22" t="b">
        <v>1</v>
      </c>
      <c r="Y17" s="22" t="s">
        <v>48</v>
      </c>
      <c r="Z17" s="23"/>
      <c r="AA17" s="23" t="b">
        <v>0</v>
      </c>
      <c r="AB17" s="23"/>
      <c r="AC17" s="23"/>
      <c r="AD17" s="23" t="b">
        <v>0</v>
      </c>
      <c r="AE17" s="23"/>
      <c r="AF17" s="23"/>
      <c r="AG17" s="23" t="b">
        <v>0</v>
      </c>
      <c r="AH17" s="23"/>
      <c r="AI17" s="23"/>
      <c r="AJ17" s="23" t="b">
        <v>0</v>
      </c>
      <c r="AK17" s="23"/>
      <c r="AL17" s="23"/>
      <c r="AM17" s="23" t="b">
        <v>0</v>
      </c>
      <c r="AN17" s="23"/>
      <c r="AO17" s="23"/>
      <c r="AP17" s="23" t="b">
        <v>0</v>
      </c>
      <c r="AQ17" s="23"/>
      <c r="AR17" s="23"/>
      <c r="AS17" s="23" t="b">
        <v>0</v>
      </c>
      <c r="AT17" s="23"/>
      <c r="AU17" s="23"/>
      <c r="AV17" s="22" t="b">
        <v>0</v>
      </c>
      <c r="AW17" s="22"/>
      <c r="AX17" s="23"/>
      <c r="AY17" s="22" t="b">
        <v>0</v>
      </c>
      <c r="AZ17" s="22"/>
      <c r="BA17" s="23"/>
      <c r="BB17" s="22" t="b">
        <v>1</v>
      </c>
      <c r="BC17" s="22" t="s">
        <v>54</v>
      </c>
      <c r="BD17" s="23"/>
      <c r="BE17" s="23" t="b">
        <v>0</v>
      </c>
      <c r="BF17" s="23"/>
      <c r="BG17" s="23"/>
      <c r="BH17" s="23" t="b">
        <v>0</v>
      </c>
      <c r="BI17" s="23"/>
      <c r="BJ17" s="23"/>
      <c r="BK17" s="23" t="b">
        <v>0</v>
      </c>
      <c r="BL17" s="23"/>
      <c r="BM17" s="23"/>
      <c r="BN17" s="23" t="b">
        <v>0</v>
      </c>
      <c r="BO17" s="23"/>
      <c r="BP17" s="23"/>
      <c r="BQ17" s="23" t="b">
        <v>0</v>
      </c>
      <c r="BR17" s="23"/>
      <c r="BS17" s="23"/>
      <c r="BT17" s="23" t="b">
        <v>0</v>
      </c>
      <c r="BU17" s="23"/>
      <c r="BV17" s="23"/>
      <c r="BW17" s="23" t="b">
        <v>0</v>
      </c>
      <c r="BX17" s="23"/>
      <c r="BY17" s="23"/>
      <c r="BZ17" s="23" t="b">
        <v>0</v>
      </c>
      <c r="CA17" s="23"/>
      <c r="CB17" s="23"/>
      <c r="CC17" s="32" t="b">
        <v>0</v>
      </c>
      <c r="CD17" s="23"/>
      <c r="CE17" s="33"/>
      <c r="CF17" s="23" t="b">
        <v>0</v>
      </c>
      <c r="CG17" s="23"/>
      <c r="CH17" s="23"/>
      <c r="CI17" s="23" t="b">
        <v>0</v>
      </c>
      <c r="CJ17" s="23"/>
      <c r="CK17" s="23"/>
      <c r="CL17" s="23" t="b">
        <v>0</v>
      </c>
      <c r="CM17" s="23"/>
      <c r="CN17" s="23"/>
    </row>
    <row r="18">
      <c r="A18" s="18">
        <v>15.0</v>
      </c>
      <c r="B18" s="18" t="s">
        <v>82</v>
      </c>
      <c r="C18" s="18" t="b">
        <v>1</v>
      </c>
      <c r="D18" s="18" t="s">
        <v>51</v>
      </c>
      <c r="E18" s="19"/>
      <c r="F18" s="19" t="b">
        <v>0</v>
      </c>
      <c r="G18" s="19"/>
      <c r="H18" s="19"/>
      <c r="I18" s="19" t="b">
        <v>0</v>
      </c>
      <c r="J18" s="19"/>
      <c r="K18" s="19"/>
      <c r="L18" s="19" t="b">
        <v>0</v>
      </c>
      <c r="M18" s="19"/>
      <c r="N18" s="19"/>
      <c r="O18" s="19" t="b">
        <v>0</v>
      </c>
      <c r="P18" s="19"/>
      <c r="Q18" s="19"/>
      <c r="R18" s="19" t="b">
        <v>0</v>
      </c>
      <c r="S18" s="19"/>
      <c r="T18" s="19"/>
      <c r="U18" s="19" t="b">
        <v>0</v>
      </c>
      <c r="V18" s="19"/>
      <c r="W18" s="19"/>
      <c r="X18" s="18" t="b">
        <v>1</v>
      </c>
      <c r="Y18" s="18" t="s">
        <v>48</v>
      </c>
      <c r="Z18" s="19"/>
      <c r="AA18" s="19" t="b">
        <v>0</v>
      </c>
      <c r="AB18" s="19"/>
      <c r="AC18" s="19"/>
      <c r="AD18" s="19" t="b">
        <v>0</v>
      </c>
      <c r="AE18" s="19"/>
      <c r="AF18" s="19"/>
      <c r="AG18" s="19" t="b">
        <v>0</v>
      </c>
      <c r="AH18" s="19"/>
      <c r="AI18" s="19"/>
      <c r="AJ18" s="19" t="b">
        <v>0</v>
      </c>
      <c r="AK18" s="19"/>
      <c r="AL18" s="19"/>
      <c r="AM18" s="19" t="b">
        <v>0</v>
      </c>
      <c r="AN18" s="19"/>
      <c r="AO18" s="19"/>
      <c r="AP18" s="19" t="b">
        <v>0</v>
      </c>
      <c r="AQ18" s="19"/>
      <c r="AR18" s="19"/>
      <c r="AS18" s="19" t="b">
        <v>0</v>
      </c>
      <c r="AT18" s="19"/>
      <c r="AU18" s="19"/>
      <c r="AV18" s="18" t="b">
        <v>0</v>
      </c>
      <c r="AW18" s="19"/>
      <c r="AX18" s="19"/>
      <c r="AY18" s="18" t="b">
        <v>0</v>
      </c>
      <c r="AZ18" s="19"/>
      <c r="BA18" s="19"/>
      <c r="BB18" s="18" t="b">
        <v>0</v>
      </c>
      <c r="BC18" s="19"/>
      <c r="BD18" s="19"/>
      <c r="BE18" s="19" t="b">
        <v>0</v>
      </c>
      <c r="BF18" s="19"/>
      <c r="BG18" s="19"/>
      <c r="BH18" s="19" t="b">
        <v>0</v>
      </c>
      <c r="BI18" s="19"/>
      <c r="BJ18" s="19"/>
      <c r="BK18" s="19" t="b">
        <v>0</v>
      </c>
      <c r="BL18" s="19"/>
      <c r="BM18" s="19"/>
      <c r="BN18" s="18" t="b">
        <v>1</v>
      </c>
      <c r="BO18" s="18" t="s">
        <v>55</v>
      </c>
      <c r="BP18" s="19"/>
      <c r="BQ18" s="18" t="b">
        <v>0</v>
      </c>
      <c r="BR18" s="18"/>
      <c r="BS18" s="19"/>
      <c r="BT18" s="18" t="b">
        <v>0</v>
      </c>
      <c r="BU18" s="18"/>
      <c r="BV18" s="19"/>
      <c r="BW18" s="18" t="b">
        <v>0</v>
      </c>
      <c r="BX18" s="18"/>
      <c r="BY18" s="19"/>
      <c r="BZ18" s="18" t="b">
        <v>0</v>
      </c>
      <c r="CA18" s="18"/>
      <c r="CB18" s="19"/>
      <c r="CC18" s="34" t="b">
        <v>0</v>
      </c>
      <c r="CD18" s="18"/>
      <c r="CE18" s="21"/>
      <c r="CF18" s="18" t="b">
        <v>0</v>
      </c>
      <c r="CG18" s="18"/>
      <c r="CH18" s="19"/>
      <c r="CI18" s="18" t="b">
        <v>0</v>
      </c>
      <c r="CJ18" s="18"/>
      <c r="CK18" s="19"/>
      <c r="CL18" s="18" t="b">
        <v>0</v>
      </c>
      <c r="CM18" s="18"/>
      <c r="CN18" s="19"/>
    </row>
    <row r="19">
      <c r="A19" s="22">
        <v>16.0</v>
      </c>
      <c r="B19" s="22" t="s">
        <v>83</v>
      </c>
      <c r="C19" s="22" t="b">
        <v>0</v>
      </c>
      <c r="D19" s="23"/>
      <c r="E19" s="23"/>
      <c r="F19" s="23" t="b">
        <v>0</v>
      </c>
      <c r="G19" s="23"/>
      <c r="H19" s="23"/>
      <c r="I19" s="23" t="b">
        <v>0</v>
      </c>
      <c r="J19" s="23"/>
      <c r="K19" s="23"/>
      <c r="L19" s="23" t="b">
        <v>0</v>
      </c>
      <c r="M19" s="23"/>
      <c r="N19" s="23"/>
      <c r="O19" s="23" t="b">
        <v>0</v>
      </c>
      <c r="P19" s="23"/>
      <c r="Q19" s="23"/>
      <c r="R19" s="23" t="b">
        <v>0</v>
      </c>
      <c r="S19" s="23"/>
      <c r="T19" s="23"/>
      <c r="U19" s="23" t="b">
        <v>0</v>
      </c>
      <c r="V19" s="23"/>
      <c r="W19" s="23"/>
      <c r="X19" s="22" t="b">
        <v>1</v>
      </c>
      <c r="Y19" s="22" t="s">
        <v>48</v>
      </c>
      <c r="Z19" s="23"/>
      <c r="AA19" s="23" t="b">
        <v>0</v>
      </c>
      <c r="AB19" s="23"/>
      <c r="AC19" s="23"/>
      <c r="AD19" s="23" t="b">
        <v>0</v>
      </c>
      <c r="AE19" s="23"/>
      <c r="AF19" s="23"/>
      <c r="AG19" s="23" t="b">
        <v>0</v>
      </c>
      <c r="AH19" s="23"/>
      <c r="AI19" s="23"/>
      <c r="AJ19" s="23" t="b">
        <v>0</v>
      </c>
      <c r="AK19" s="23"/>
      <c r="AL19" s="23"/>
      <c r="AM19" s="23" t="b">
        <v>0</v>
      </c>
      <c r="AN19" s="23"/>
      <c r="AO19" s="23"/>
      <c r="AP19" s="23" t="b">
        <v>0</v>
      </c>
      <c r="AQ19" s="23"/>
      <c r="AR19" s="23"/>
      <c r="AS19" s="23" t="b">
        <v>0</v>
      </c>
      <c r="AT19" s="23"/>
      <c r="AU19" s="23"/>
      <c r="AV19" s="23" t="b">
        <v>0</v>
      </c>
      <c r="AW19" s="23"/>
      <c r="AX19" s="23"/>
      <c r="AY19" s="23" t="b">
        <v>0</v>
      </c>
      <c r="AZ19" s="23"/>
      <c r="BA19" s="23"/>
      <c r="BB19" s="22" t="b">
        <v>1</v>
      </c>
      <c r="BC19" s="22" t="s">
        <v>57</v>
      </c>
      <c r="BD19" s="23"/>
      <c r="BE19" s="23" t="b">
        <v>0</v>
      </c>
      <c r="BF19" s="23"/>
      <c r="BG19" s="23"/>
      <c r="BH19" s="22" t="b">
        <v>1</v>
      </c>
      <c r="BI19" s="22" t="s">
        <v>48</v>
      </c>
      <c r="BJ19" s="23"/>
      <c r="BK19" s="22" t="b">
        <v>1</v>
      </c>
      <c r="BL19" s="22" t="s">
        <v>48</v>
      </c>
      <c r="BM19" s="23"/>
      <c r="BN19" s="23" t="b">
        <v>0</v>
      </c>
      <c r="BO19" s="23"/>
      <c r="BP19" s="23"/>
      <c r="BQ19" s="23" t="b">
        <v>0</v>
      </c>
      <c r="BR19" s="23"/>
      <c r="BS19" s="23"/>
      <c r="BT19" s="23" t="b">
        <v>0</v>
      </c>
      <c r="BU19" s="23"/>
      <c r="BV19" s="23"/>
      <c r="BW19" s="23" t="b">
        <v>0</v>
      </c>
      <c r="BX19" s="23"/>
      <c r="BY19" s="23"/>
      <c r="BZ19" s="23" t="b">
        <v>0</v>
      </c>
      <c r="CA19" s="23"/>
      <c r="CB19" s="23"/>
      <c r="CC19" s="32" t="b">
        <v>0</v>
      </c>
      <c r="CD19" s="23"/>
      <c r="CE19" s="33"/>
      <c r="CF19" s="23" t="b">
        <v>0</v>
      </c>
      <c r="CG19" s="23"/>
      <c r="CH19" s="23"/>
      <c r="CI19" s="23" t="b">
        <v>0</v>
      </c>
      <c r="CJ19" s="23"/>
      <c r="CK19" s="23"/>
      <c r="CL19" s="23" t="b">
        <v>0</v>
      </c>
      <c r="CM19" s="23"/>
      <c r="CN19" s="23"/>
    </row>
    <row r="20">
      <c r="A20" s="18">
        <v>17.0</v>
      </c>
      <c r="B20" s="18" t="s">
        <v>84</v>
      </c>
      <c r="C20" s="18" t="b">
        <v>1</v>
      </c>
      <c r="D20" s="18" t="s">
        <v>51</v>
      </c>
      <c r="E20" s="19"/>
      <c r="F20" s="19" t="b">
        <v>0</v>
      </c>
      <c r="G20" s="19"/>
      <c r="H20" s="19"/>
      <c r="I20" s="19" t="b">
        <v>0</v>
      </c>
      <c r="J20" s="19"/>
      <c r="K20" s="19"/>
      <c r="L20" s="19" t="b">
        <v>0</v>
      </c>
      <c r="M20" s="19"/>
      <c r="N20" s="19"/>
      <c r="O20" s="19" t="b">
        <v>0</v>
      </c>
      <c r="P20" s="19"/>
      <c r="Q20" s="19"/>
      <c r="R20" s="19" t="b">
        <v>0</v>
      </c>
      <c r="S20" s="19"/>
      <c r="T20" s="19"/>
      <c r="U20" s="19" t="b">
        <v>0</v>
      </c>
      <c r="V20" s="19"/>
      <c r="W20" s="19"/>
      <c r="X20" s="19" t="b">
        <v>0</v>
      </c>
      <c r="Y20" s="19"/>
      <c r="Z20" s="19"/>
      <c r="AA20" s="19" t="b">
        <v>0</v>
      </c>
      <c r="AB20" s="19"/>
      <c r="AC20" s="19"/>
      <c r="AD20" s="19" t="b">
        <v>0</v>
      </c>
      <c r="AE20" s="19"/>
      <c r="AF20" s="19"/>
      <c r="AG20" s="19" t="b">
        <v>0</v>
      </c>
      <c r="AH20" s="19"/>
      <c r="AI20" s="19"/>
      <c r="AJ20" s="19" t="b">
        <v>0</v>
      </c>
      <c r="AK20" s="19"/>
      <c r="AL20" s="19"/>
      <c r="AM20" s="19" t="b">
        <v>0</v>
      </c>
      <c r="AN20" s="19"/>
      <c r="AO20" s="19"/>
      <c r="AP20" s="18" t="b">
        <v>1</v>
      </c>
      <c r="AQ20" s="18" t="s">
        <v>47</v>
      </c>
      <c r="AR20" s="19"/>
      <c r="AS20" s="19" t="b">
        <v>0</v>
      </c>
      <c r="AT20" s="19"/>
      <c r="AU20" s="19"/>
      <c r="AV20" s="19" t="b">
        <v>0</v>
      </c>
      <c r="AW20" s="19"/>
      <c r="AX20" s="19"/>
      <c r="AY20" s="19" t="b">
        <v>0</v>
      </c>
      <c r="AZ20" s="19"/>
      <c r="BA20" s="19"/>
      <c r="BB20" s="19" t="b">
        <v>0</v>
      </c>
      <c r="BC20" s="19"/>
      <c r="BD20" s="19"/>
      <c r="BE20" s="18" t="b">
        <v>0</v>
      </c>
      <c r="BF20" s="19"/>
      <c r="BG20" s="19"/>
      <c r="BH20" s="18" t="b">
        <v>1</v>
      </c>
      <c r="BI20" s="18" t="s">
        <v>48</v>
      </c>
      <c r="BJ20" s="18"/>
      <c r="BK20" s="18" t="b">
        <v>0</v>
      </c>
      <c r="BL20" s="19"/>
      <c r="BM20" s="18"/>
      <c r="BN20" s="18" t="b">
        <v>0</v>
      </c>
      <c r="BO20" s="19"/>
      <c r="BP20" s="19"/>
      <c r="BQ20" s="18" t="b">
        <v>0</v>
      </c>
      <c r="BR20" s="19"/>
      <c r="BS20" s="19"/>
      <c r="BT20" s="18" t="b">
        <v>0</v>
      </c>
      <c r="BU20" s="19"/>
      <c r="BV20" s="19"/>
      <c r="BW20" s="18" t="b">
        <v>0</v>
      </c>
      <c r="BX20" s="19"/>
      <c r="BY20" s="19"/>
      <c r="BZ20" s="18" t="b">
        <v>0</v>
      </c>
      <c r="CA20" s="19"/>
      <c r="CB20" s="19"/>
      <c r="CC20" s="34" t="b">
        <v>0</v>
      </c>
      <c r="CD20" s="19"/>
      <c r="CE20" s="21"/>
      <c r="CF20" s="18" t="b">
        <v>0</v>
      </c>
      <c r="CG20" s="19"/>
      <c r="CH20" s="19"/>
      <c r="CI20" s="18" t="b">
        <v>0</v>
      </c>
      <c r="CJ20" s="19"/>
      <c r="CK20" s="19"/>
      <c r="CL20" s="18" t="b">
        <v>0</v>
      </c>
      <c r="CM20" s="19"/>
      <c r="CN20" s="19"/>
    </row>
    <row r="21">
      <c r="A21" s="22">
        <v>18.0</v>
      </c>
      <c r="B21" s="22" t="s">
        <v>85</v>
      </c>
      <c r="C21" s="22" t="b">
        <v>1</v>
      </c>
      <c r="D21" s="22" t="s">
        <v>86</v>
      </c>
      <c r="E21" s="23"/>
      <c r="F21" s="23" t="b">
        <v>0</v>
      </c>
      <c r="G21" s="23"/>
      <c r="H21" s="23"/>
      <c r="I21" s="23" t="b">
        <v>0</v>
      </c>
      <c r="J21" s="23"/>
      <c r="K21" s="23"/>
      <c r="L21" s="23" t="b">
        <v>0</v>
      </c>
      <c r="M21" s="23"/>
      <c r="N21" s="23"/>
      <c r="O21" s="23" t="b">
        <v>0</v>
      </c>
      <c r="P21" s="23"/>
      <c r="Q21" s="23"/>
      <c r="R21" s="23" t="b">
        <v>0</v>
      </c>
      <c r="S21" s="23"/>
      <c r="T21" s="23"/>
      <c r="U21" s="23" t="b">
        <v>0</v>
      </c>
      <c r="V21" s="23"/>
      <c r="W21" s="23"/>
      <c r="X21" s="23" t="b">
        <v>0</v>
      </c>
      <c r="Y21" s="23"/>
      <c r="Z21" s="23"/>
      <c r="AA21" s="23" t="b">
        <v>0</v>
      </c>
      <c r="AB21" s="23"/>
      <c r="AC21" s="23"/>
      <c r="AD21" s="23" t="b">
        <v>0</v>
      </c>
      <c r="AE21" s="23"/>
      <c r="AF21" s="23"/>
      <c r="AG21" s="23" t="b">
        <v>0</v>
      </c>
      <c r="AH21" s="23"/>
      <c r="AI21" s="23"/>
      <c r="AJ21" s="23" t="b">
        <v>0</v>
      </c>
      <c r="AK21" s="23"/>
      <c r="AL21" s="23"/>
      <c r="AM21" s="23" t="b">
        <v>0</v>
      </c>
      <c r="AN21" s="23"/>
      <c r="AO21" s="23"/>
      <c r="AP21" s="23" t="b">
        <v>0</v>
      </c>
      <c r="AQ21" s="23"/>
      <c r="AR21" s="23"/>
      <c r="AS21" s="23" t="b">
        <v>0</v>
      </c>
      <c r="AT21" s="23"/>
      <c r="AU21" s="23"/>
      <c r="AV21" s="23" t="b">
        <v>0</v>
      </c>
      <c r="AW21" s="23"/>
      <c r="AX21" s="23"/>
      <c r="AY21" s="23" t="b">
        <v>0</v>
      </c>
      <c r="AZ21" s="23"/>
      <c r="BA21" s="23"/>
      <c r="BB21" s="23" t="b">
        <v>0</v>
      </c>
      <c r="BC21" s="23"/>
      <c r="BD21" s="23"/>
      <c r="BE21" s="22" t="b">
        <v>1</v>
      </c>
      <c r="BF21" s="22" t="s">
        <v>48</v>
      </c>
      <c r="BG21" s="23"/>
      <c r="BH21" s="22" t="b">
        <v>0</v>
      </c>
      <c r="BI21" s="22"/>
      <c r="BJ21" s="22"/>
      <c r="BK21" s="22" t="b">
        <v>0</v>
      </c>
      <c r="BL21" s="22"/>
      <c r="BM21" s="22"/>
      <c r="BN21" s="22" t="b">
        <v>1</v>
      </c>
      <c r="BO21" s="22" t="s">
        <v>48</v>
      </c>
      <c r="BP21" s="23"/>
      <c r="BQ21" s="22" t="b">
        <v>0</v>
      </c>
      <c r="BR21" s="22"/>
      <c r="BS21" s="23"/>
      <c r="BT21" s="22" t="b">
        <v>0</v>
      </c>
      <c r="BU21" s="22"/>
      <c r="BV21" s="23"/>
      <c r="BW21" s="22" t="b">
        <v>0</v>
      </c>
      <c r="BX21" s="22"/>
      <c r="BY21" s="23"/>
      <c r="BZ21" s="22" t="b">
        <v>0</v>
      </c>
      <c r="CA21" s="22"/>
      <c r="CB21" s="23"/>
      <c r="CC21" s="24" t="b">
        <v>0</v>
      </c>
      <c r="CD21" s="22"/>
      <c r="CE21" s="25"/>
      <c r="CF21" s="22" t="b">
        <v>0</v>
      </c>
      <c r="CG21" s="22"/>
      <c r="CH21" s="23"/>
      <c r="CI21" s="22" t="b">
        <v>0</v>
      </c>
      <c r="CJ21" s="22"/>
      <c r="CK21" s="23"/>
      <c r="CL21" s="22" t="b">
        <v>0</v>
      </c>
      <c r="CM21" s="22"/>
      <c r="CN21" s="23"/>
    </row>
    <row r="22">
      <c r="A22" s="18">
        <v>19.0</v>
      </c>
      <c r="B22" s="18" t="s">
        <v>87</v>
      </c>
      <c r="C22" s="18" t="b">
        <v>1</v>
      </c>
      <c r="D22" s="18" t="s">
        <v>55</v>
      </c>
      <c r="E22" s="19"/>
      <c r="F22" s="19" t="b">
        <v>0</v>
      </c>
      <c r="G22" s="19"/>
      <c r="H22" s="19"/>
      <c r="I22" s="19" t="b">
        <v>0</v>
      </c>
      <c r="J22" s="19"/>
      <c r="K22" s="19"/>
      <c r="L22" s="19" t="b">
        <v>0</v>
      </c>
      <c r="M22" s="19"/>
      <c r="N22" s="19"/>
      <c r="O22" s="19" t="b">
        <v>0</v>
      </c>
      <c r="P22" s="19"/>
      <c r="Q22" s="19"/>
      <c r="R22" s="19" t="b">
        <v>0</v>
      </c>
      <c r="S22" s="19"/>
      <c r="T22" s="19"/>
      <c r="U22" s="19" t="b">
        <v>0</v>
      </c>
      <c r="V22" s="19"/>
      <c r="W22" s="19"/>
      <c r="X22" s="19" t="b">
        <v>0</v>
      </c>
      <c r="Y22" s="19"/>
      <c r="Z22" s="19"/>
      <c r="AA22" s="19" t="b">
        <v>0</v>
      </c>
      <c r="AB22" s="19"/>
      <c r="AC22" s="19"/>
      <c r="AD22" s="19" t="b">
        <v>0</v>
      </c>
      <c r="AE22" s="19"/>
      <c r="AF22" s="19"/>
      <c r="AG22" s="19" t="b">
        <v>0</v>
      </c>
      <c r="AH22" s="19"/>
      <c r="AI22" s="19"/>
      <c r="AJ22" s="19" t="b">
        <v>0</v>
      </c>
      <c r="AK22" s="19"/>
      <c r="AL22" s="19"/>
      <c r="AM22" s="19" t="b">
        <v>0</v>
      </c>
      <c r="AN22" s="19"/>
      <c r="AO22" s="19"/>
      <c r="AP22" s="19" t="b">
        <v>0</v>
      </c>
      <c r="AQ22" s="19"/>
      <c r="AR22" s="19"/>
      <c r="AS22" s="19" t="b">
        <v>0</v>
      </c>
      <c r="AT22" s="19"/>
      <c r="AU22" s="19"/>
      <c r="AV22" s="19" t="b">
        <v>0</v>
      </c>
      <c r="AW22" s="18" t="s">
        <v>48</v>
      </c>
      <c r="AX22" s="19"/>
      <c r="AY22" s="19" t="b">
        <v>0</v>
      </c>
      <c r="AZ22" s="19"/>
      <c r="BA22" s="19"/>
      <c r="BB22" s="19" t="b">
        <v>0</v>
      </c>
      <c r="BC22" s="19"/>
      <c r="BD22" s="19"/>
      <c r="BE22" s="19" t="b">
        <v>0</v>
      </c>
      <c r="BF22" s="19"/>
      <c r="BG22" s="19"/>
      <c r="BH22" s="18" t="b">
        <v>1</v>
      </c>
      <c r="BI22" s="18" t="s">
        <v>48</v>
      </c>
      <c r="BJ22" s="19"/>
      <c r="BK22" s="19" t="b">
        <v>0</v>
      </c>
      <c r="BL22" s="19"/>
      <c r="BM22" s="19"/>
      <c r="BN22" s="18" t="b">
        <v>1</v>
      </c>
      <c r="BO22" s="18" t="s">
        <v>58</v>
      </c>
      <c r="BP22" s="19"/>
      <c r="BQ22" s="18" t="b">
        <v>0</v>
      </c>
      <c r="BR22" s="18"/>
      <c r="BS22" s="19"/>
      <c r="BT22" s="18" t="b">
        <v>0</v>
      </c>
      <c r="BU22" s="18"/>
      <c r="BV22" s="19"/>
      <c r="BW22" s="18" t="b">
        <v>0</v>
      </c>
      <c r="BX22" s="18"/>
      <c r="BY22" s="19"/>
      <c r="BZ22" s="18" t="b">
        <v>0</v>
      </c>
      <c r="CA22" s="18"/>
      <c r="CB22" s="19"/>
      <c r="CC22" s="34" t="b">
        <v>0</v>
      </c>
      <c r="CD22" s="18"/>
      <c r="CE22" s="21"/>
      <c r="CF22" s="18" t="b">
        <v>0</v>
      </c>
      <c r="CG22" s="18"/>
      <c r="CH22" s="19"/>
      <c r="CI22" s="18" t="b">
        <v>1</v>
      </c>
      <c r="CJ22" s="18" t="s">
        <v>48</v>
      </c>
      <c r="CK22" s="19"/>
      <c r="CL22" s="18" t="b">
        <v>0</v>
      </c>
      <c r="CM22" s="18"/>
      <c r="CN22" s="19"/>
    </row>
    <row r="23">
      <c r="A23" s="22">
        <v>20.0</v>
      </c>
      <c r="B23" s="22" t="s">
        <v>88</v>
      </c>
      <c r="C23" s="22" t="b">
        <v>1</v>
      </c>
      <c r="D23" s="22" t="s">
        <v>58</v>
      </c>
      <c r="E23" s="22" t="s">
        <v>89</v>
      </c>
      <c r="F23" s="23" t="b">
        <v>0</v>
      </c>
      <c r="G23" s="23"/>
      <c r="H23" s="23"/>
      <c r="I23" s="23" t="b">
        <v>0</v>
      </c>
      <c r="J23" s="23"/>
      <c r="K23" s="23"/>
      <c r="L23" s="23" t="b">
        <v>0</v>
      </c>
      <c r="M23" s="23"/>
      <c r="N23" s="23"/>
      <c r="O23" s="23" t="b">
        <v>0</v>
      </c>
      <c r="P23" s="23"/>
      <c r="Q23" s="23"/>
      <c r="R23" s="23" t="b">
        <v>0</v>
      </c>
      <c r="S23" s="23"/>
      <c r="T23" s="23"/>
      <c r="U23" s="23" t="b">
        <v>0</v>
      </c>
      <c r="V23" s="23"/>
      <c r="W23" s="23"/>
      <c r="X23" s="23" t="b">
        <v>0</v>
      </c>
      <c r="Y23" s="23"/>
      <c r="Z23" s="23"/>
      <c r="AA23" s="23" t="b">
        <v>0</v>
      </c>
      <c r="AB23" s="23"/>
      <c r="AC23" s="23"/>
      <c r="AD23" s="22" t="b">
        <v>1</v>
      </c>
      <c r="AE23" s="22" t="s">
        <v>54</v>
      </c>
      <c r="AF23" s="23"/>
      <c r="AG23" s="23" t="b">
        <v>0</v>
      </c>
      <c r="AH23" s="23"/>
      <c r="AI23" s="23"/>
      <c r="AJ23" s="23" t="b">
        <v>0</v>
      </c>
      <c r="AK23" s="23"/>
      <c r="AL23" s="23"/>
      <c r="AM23" s="23" t="b">
        <v>0</v>
      </c>
      <c r="AN23" s="23"/>
      <c r="AO23" s="23"/>
      <c r="AP23" s="22" t="b">
        <v>1</v>
      </c>
      <c r="AQ23" s="22" t="s">
        <v>48</v>
      </c>
      <c r="AR23" s="23"/>
      <c r="AS23" s="23" t="b">
        <v>0</v>
      </c>
      <c r="AT23" s="23"/>
      <c r="AU23" s="23"/>
      <c r="AV23" s="23" t="b">
        <v>0</v>
      </c>
      <c r="AW23" s="23"/>
      <c r="AX23" s="23"/>
      <c r="AY23" s="23" t="b">
        <v>0</v>
      </c>
      <c r="AZ23" s="23"/>
      <c r="BA23" s="23"/>
      <c r="BB23" s="23" t="b">
        <v>0</v>
      </c>
      <c r="BC23" s="23"/>
      <c r="BD23" s="23"/>
      <c r="BE23" s="23" t="b">
        <v>0</v>
      </c>
      <c r="BF23" s="23"/>
      <c r="BG23" s="23"/>
      <c r="BH23" s="23" t="b">
        <v>0</v>
      </c>
      <c r="BI23" s="23"/>
      <c r="BJ23" s="23"/>
      <c r="BK23" s="23" t="b">
        <v>0</v>
      </c>
      <c r="BL23" s="23"/>
      <c r="BM23" s="23"/>
      <c r="BN23" s="22" t="b">
        <v>1</v>
      </c>
      <c r="BO23" s="22" t="s">
        <v>48</v>
      </c>
      <c r="BP23" s="23"/>
      <c r="BQ23" s="22" t="b">
        <v>1</v>
      </c>
      <c r="BR23" s="22" t="s">
        <v>48</v>
      </c>
      <c r="BS23" s="23"/>
      <c r="BT23" s="22" t="b">
        <v>0</v>
      </c>
      <c r="BU23" s="22"/>
      <c r="BV23" s="23"/>
      <c r="BW23" s="22" t="b">
        <v>0</v>
      </c>
      <c r="BX23" s="22"/>
      <c r="BY23" s="23"/>
      <c r="BZ23" s="22" t="b">
        <v>0</v>
      </c>
      <c r="CA23" s="22"/>
      <c r="CB23" s="23"/>
      <c r="CC23" s="24" t="b">
        <v>0</v>
      </c>
      <c r="CD23" s="22"/>
      <c r="CE23" s="25"/>
      <c r="CF23" s="22" t="b">
        <v>0</v>
      </c>
      <c r="CG23" s="22"/>
      <c r="CH23" s="23"/>
      <c r="CI23" s="22" t="b">
        <v>0</v>
      </c>
      <c r="CJ23" s="22"/>
      <c r="CK23" s="23"/>
      <c r="CL23" s="22" t="b">
        <v>0</v>
      </c>
      <c r="CM23" s="22"/>
      <c r="CN23" s="23"/>
    </row>
    <row r="24">
      <c r="A24" s="18">
        <v>21.0</v>
      </c>
      <c r="B24" s="18" t="s">
        <v>90</v>
      </c>
      <c r="C24" s="18" t="b">
        <v>0</v>
      </c>
      <c r="D24" s="19"/>
      <c r="E24" s="19"/>
      <c r="F24" s="19" t="b">
        <v>0</v>
      </c>
      <c r="G24" s="19"/>
      <c r="H24" s="19"/>
      <c r="I24" s="19" t="b">
        <v>0</v>
      </c>
      <c r="J24" s="19"/>
      <c r="K24" s="19"/>
      <c r="L24" s="19" t="b">
        <v>0</v>
      </c>
      <c r="M24" s="19"/>
      <c r="N24" s="19"/>
      <c r="O24" s="19" t="b">
        <v>0</v>
      </c>
      <c r="P24" s="19"/>
      <c r="Q24" s="19"/>
      <c r="R24" s="19" t="b">
        <v>0</v>
      </c>
      <c r="S24" s="19"/>
      <c r="T24" s="19"/>
      <c r="U24" s="19" t="b">
        <v>0</v>
      </c>
      <c r="V24" s="19"/>
      <c r="W24" s="19"/>
      <c r="X24" s="19" t="b">
        <v>0</v>
      </c>
      <c r="Y24" s="19"/>
      <c r="Z24" s="19"/>
      <c r="AA24" s="19" t="b">
        <v>0</v>
      </c>
      <c r="AB24" s="19"/>
      <c r="AC24" s="19"/>
      <c r="AD24" s="19" t="b">
        <v>0</v>
      </c>
      <c r="AE24" s="19"/>
      <c r="AF24" s="19"/>
      <c r="AG24" s="19" t="b">
        <v>0</v>
      </c>
      <c r="AH24" s="19"/>
      <c r="AI24" s="19"/>
      <c r="AJ24" s="19" t="b">
        <v>0</v>
      </c>
      <c r="AK24" s="19"/>
      <c r="AL24" s="19"/>
      <c r="AM24" s="19" t="b">
        <v>0</v>
      </c>
      <c r="AN24" s="19"/>
      <c r="AO24" s="19"/>
      <c r="AP24" s="19" t="b">
        <v>0</v>
      </c>
      <c r="AQ24" s="19"/>
      <c r="AR24" s="19"/>
      <c r="AS24" s="19" t="b">
        <v>0</v>
      </c>
      <c r="AT24" s="19"/>
      <c r="AU24" s="19"/>
      <c r="AV24" s="19" t="b">
        <v>0</v>
      </c>
      <c r="AW24" s="19"/>
      <c r="AX24" s="19"/>
      <c r="AY24" s="19" t="b">
        <v>0</v>
      </c>
      <c r="AZ24" s="19"/>
      <c r="BA24" s="19"/>
      <c r="BB24" s="19" t="b">
        <v>0</v>
      </c>
      <c r="BC24" s="19"/>
      <c r="BD24" s="19"/>
      <c r="BE24" s="18" t="b">
        <v>1</v>
      </c>
      <c r="BF24" s="18" t="s">
        <v>86</v>
      </c>
      <c r="BG24" s="19"/>
      <c r="BH24" s="18" t="b">
        <v>0</v>
      </c>
      <c r="BI24" s="18"/>
      <c r="BJ24" s="18"/>
      <c r="BK24" s="18" t="b">
        <v>0</v>
      </c>
      <c r="BL24" s="18"/>
      <c r="BM24" s="18"/>
      <c r="BN24" s="18" t="b">
        <v>0</v>
      </c>
      <c r="BO24" s="18"/>
      <c r="BP24" s="19"/>
      <c r="BQ24" s="18" t="b">
        <v>0</v>
      </c>
      <c r="BR24" s="18"/>
      <c r="BS24" s="19"/>
      <c r="BT24" s="18" t="b">
        <v>0</v>
      </c>
      <c r="BU24" s="18"/>
      <c r="BV24" s="19"/>
      <c r="BW24" s="18" t="b">
        <v>0</v>
      </c>
      <c r="BX24" s="18"/>
      <c r="BY24" s="19"/>
      <c r="BZ24" s="18" t="b">
        <v>0</v>
      </c>
      <c r="CA24" s="18"/>
      <c r="CB24" s="19"/>
      <c r="CC24" s="34" t="b">
        <v>0</v>
      </c>
      <c r="CD24" s="18"/>
      <c r="CE24" s="21"/>
      <c r="CF24" s="18" t="b">
        <v>0</v>
      </c>
      <c r="CG24" s="18"/>
      <c r="CH24" s="19"/>
      <c r="CI24" s="18" t="b">
        <v>0</v>
      </c>
      <c r="CJ24" s="18"/>
      <c r="CK24" s="19"/>
      <c r="CL24" s="18" t="b">
        <v>0</v>
      </c>
      <c r="CM24" s="18"/>
      <c r="CN24" s="19"/>
    </row>
    <row r="25">
      <c r="A25" s="22">
        <v>22.0</v>
      </c>
      <c r="B25" s="18" t="s">
        <v>91</v>
      </c>
      <c r="C25" s="18" t="b">
        <v>0</v>
      </c>
      <c r="D25" s="19"/>
      <c r="E25" s="19"/>
      <c r="F25" s="19" t="b">
        <v>0</v>
      </c>
      <c r="G25" s="19"/>
      <c r="H25" s="19"/>
      <c r="I25" s="19" t="b">
        <v>0</v>
      </c>
      <c r="J25" s="19"/>
      <c r="K25" s="19"/>
      <c r="L25" s="19" t="b">
        <v>0</v>
      </c>
      <c r="M25" s="19"/>
      <c r="N25" s="19"/>
      <c r="O25" s="19" t="b">
        <v>0</v>
      </c>
      <c r="P25" s="19"/>
      <c r="Q25" s="19"/>
      <c r="R25" s="19" t="b">
        <v>0</v>
      </c>
      <c r="S25" s="19"/>
      <c r="T25" s="19"/>
      <c r="U25" s="19" t="b">
        <v>0</v>
      </c>
      <c r="V25" s="19"/>
      <c r="W25" s="19"/>
      <c r="X25" s="19" t="b">
        <v>0</v>
      </c>
      <c r="Y25" s="19"/>
      <c r="Z25" s="19"/>
      <c r="AA25" s="19" t="b">
        <v>0</v>
      </c>
      <c r="AB25" s="19"/>
      <c r="AC25" s="19"/>
      <c r="AD25" s="19" t="b">
        <v>0</v>
      </c>
      <c r="AE25" s="19"/>
      <c r="AF25" s="19"/>
      <c r="AG25" s="19" t="b">
        <v>0</v>
      </c>
      <c r="AH25" s="19"/>
      <c r="AI25" s="19"/>
      <c r="AJ25" s="19" t="b">
        <v>0</v>
      </c>
      <c r="AK25" s="19"/>
      <c r="AL25" s="19"/>
      <c r="AM25" s="19" t="b">
        <v>0</v>
      </c>
      <c r="AN25" s="19"/>
      <c r="AO25" s="19"/>
      <c r="AP25" s="19" t="b">
        <v>0</v>
      </c>
      <c r="AQ25" s="19"/>
      <c r="AR25" s="19"/>
      <c r="AS25" s="19" t="b">
        <v>0</v>
      </c>
      <c r="AT25" s="19"/>
      <c r="AU25" s="19"/>
      <c r="AV25" s="19" t="b">
        <v>0</v>
      </c>
      <c r="AW25" s="19"/>
      <c r="AX25" s="19"/>
      <c r="AY25" s="19" t="b">
        <v>0</v>
      </c>
      <c r="AZ25" s="19"/>
      <c r="BA25" s="19"/>
      <c r="BB25" s="19" t="b">
        <v>0</v>
      </c>
      <c r="BC25" s="19"/>
      <c r="BD25" s="19"/>
      <c r="BE25" s="18" t="b">
        <v>0</v>
      </c>
      <c r="BF25" s="18"/>
      <c r="BG25" s="19"/>
      <c r="BH25" s="18" t="b">
        <v>1</v>
      </c>
      <c r="BI25" s="18" t="s">
        <v>48</v>
      </c>
      <c r="BJ25" s="18"/>
      <c r="BK25" s="18" t="b">
        <v>1</v>
      </c>
      <c r="BL25" s="18" t="s">
        <v>48</v>
      </c>
      <c r="BM25" s="18" t="s">
        <v>92</v>
      </c>
      <c r="BN25" s="18" t="b">
        <v>1</v>
      </c>
      <c r="BO25" s="18" t="s">
        <v>58</v>
      </c>
      <c r="BP25" s="19"/>
      <c r="BQ25" s="18" t="b">
        <v>0</v>
      </c>
      <c r="BR25" s="18"/>
      <c r="BS25" s="19"/>
      <c r="BT25" s="18" t="b">
        <v>0</v>
      </c>
      <c r="BU25" s="18"/>
      <c r="BV25" s="19"/>
      <c r="BW25" s="18" t="b">
        <v>0</v>
      </c>
      <c r="BX25" s="18"/>
      <c r="BY25" s="19"/>
      <c r="BZ25" s="18" t="b">
        <v>0</v>
      </c>
      <c r="CA25" s="18"/>
      <c r="CB25" s="19"/>
      <c r="CC25" s="20" t="b">
        <v>1</v>
      </c>
      <c r="CD25" s="18" t="s">
        <v>48</v>
      </c>
      <c r="CE25" s="30" t="s">
        <v>93</v>
      </c>
      <c r="CF25" s="18" t="b">
        <v>1</v>
      </c>
      <c r="CG25" s="18"/>
      <c r="CH25" s="19"/>
      <c r="CI25" s="18" t="b">
        <v>0</v>
      </c>
      <c r="CJ25" s="18"/>
      <c r="CK25" s="19"/>
      <c r="CL25" s="18" t="b">
        <v>0</v>
      </c>
      <c r="CM25" s="18"/>
      <c r="CN25" s="19"/>
    </row>
    <row r="26">
      <c r="A26" s="18">
        <v>23.0</v>
      </c>
      <c r="B26" s="18" t="s">
        <v>94</v>
      </c>
      <c r="C26" s="18" t="b">
        <v>0</v>
      </c>
      <c r="D26" s="19"/>
      <c r="E26" s="19"/>
      <c r="F26" s="19" t="b">
        <v>0</v>
      </c>
      <c r="G26" s="19"/>
      <c r="H26" s="19"/>
      <c r="I26" s="19" t="b">
        <v>0</v>
      </c>
      <c r="J26" s="19"/>
      <c r="K26" s="19"/>
      <c r="L26" s="19" t="b">
        <v>0</v>
      </c>
      <c r="M26" s="19"/>
      <c r="N26" s="19"/>
      <c r="O26" s="19" t="b">
        <v>0</v>
      </c>
      <c r="P26" s="19"/>
      <c r="Q26" s="19"/>
      <c r="R26" s="19" t="b">
        <v>0</v>
      </c>
      <c r="S26" s="19"/>
      <c r="T26" s="19"/>
      <c r="U26" s="19" t="b">
        <v>0</v>
      </c>
      <c r="V26" s="19"/>
      <c r="W26" s="19"/>
      <c r="X26" s="19" t="b">
        <v>0</v>
      </c>
      <c r="Y26" s="19"/>
      <c r="Z26" s="19"/>
      <c r="AA26" s="19" t="b">
        <v>0</v>
      </c>
      <c r="AB26" s="19"/>
      <c r="AC26" s="19"/>
      <c r="AD26" s="19" t="b">
        <v>0</v>
      </c>
      <c r="AE26" s="19"/>
      <c r="AF26" s="19"/>
      <c r="AG26" s="19" t="b">
        <v>0</v>
      </c>
      <c r="AH26" s="19"/>
      <c r="AI26" s="19"/>
      <c r="AJ26" s="19" t="b">
        <v>0</v>
      </c>
      <c r="AK26" s="19"/>
      <c r="AL26" s="19"/>
      <c r="AM26" s="19" t="b">
        <v>0</v>
      </c>
      <c r="AN26" s="19"/>
      <c r="AO26" s="19"/>
      <c r="AP26" s="19" t="b">
        <v>0</v>
      </c>
      <c r="AQ26" s="19"/>
      <c r="AR26" s="19"/>
      <c r="AS26" s="19" t="b">
        <v>0</v>
      </c>
      <c r="AT26" s="19"/>
      <c r="AU26" s="19"/>
      <c r="AV26" s="19" t="b">
        <v>0</v>
      </c>
      <c r="AW26" s="19"/>
      <c r="AX26" s="19"/>
      <c r="AY26" s="19" t="b">
        <v>0</v>
      </c>
      <c r="AZ26" s="19"/>
      <c r="BA26" s="19"/>
      <c r="BB26" s="19" t="b">
        <v>0</v>
      </c>
      <c r="BC26" s="19"/>
      <c r="BD26" s="19"/>
      <c r="BE26" s="18" t="b">
        <v>1</v>
      </c>
      <c r="BF26" s="18" t="s">
        <v>86</v>
      </c>
      <c r="BG26" s="19"/>
      <c r="BH26" s="18" t="b">
        <v>0</v>
      </c>
      <c r="BI26" s="18"/>
      <c r="BJ26" s="18"/>
      <c r="BK26" s="18" t="b">
        <v>0</v>
      </c>
      <c r="BL26" s="18"/>
      <c r="BM26" s="18"/>
      <c r="BN26" s="18" t="b">
        <v>0</v>
      </c>
      <c r="BO26" s="18"/>
      <c r="BP26" s="19"/>
      <c r="BQ26" s="18" t="b">
        <v>0</v>
      </c>
      <c r="BR26" s="18"/>
      <c r="BS26" s="19"/>
      <c r="BT26" s="18" t="b">
        <v>0</v>
      </c>
      <c r="BU26" s="18"/>
      <c r="BV26" s="19"/>
      <c r="BW26" s="18" t="b">
        <v>0</v>
      </c>
      <c r="BX26" s="18"/>
      <c r="BY26" s="19"/>
      <c r="BZ26" s="18" t="b">
        <v>0</v>
      </c>
      <c r="CA26" s="18"/>
      <c r="CB26" s="19"/>
      <c r="CC26" s="34" t="b">
        <v>0</v>
      </c>
      <c r="CD26" s="18"/>
      <c r="CE26" s="21"/>
      <c r="CF26" s="18" t="b">
        <v>0</v>
      </c>
      <c r="CG26" s="18"/>
      <c r="CH26" s="19"/>
      <c r="CI26" s="18" t="b">
        <v>0</v>
      </c>
      <c r="CJ26" s="18"/>
      <c r="CK26" s="19"/>
      <c r="CL26" s="18" t="b">
        <v>0</v>
      </c>
      <c r="CM26" s="18"/>
      <c r="CN26" s="19"/>
    </row>
    <row r="27">
      <c r="A27" s="22">
        <v>24.0</v>
      </c>
      <c r="B27" s="18" t="s">
        <v>95</v>
      </c>
      <c r="C27" s="18" t="b">
        <v>0</v>
      </c>
      <c r="D27" s="19"/>
      <c r="E27" s="19"/>
      <c r="F27" s="19" t="b">
        <v>0</v>
      </c>
      <c r="G27" s="19"/>
      <c r="H27" s="19"/>
      <c r="I27" s="19" t="b">
        <v>0</v>
      </c>
      <c r="J27" s="19"/>
      <c r="K27" s="19"/>
      <c r="L27" s="19" t="b">
        <v>0</v>
      </c>
      <c r="M27" s="19"/>
      <c r="N27" s="19"/>
      <c r="O27" s="19" t="b">
        <v>0</v>
      </c>
      <c r="P27" s="19"/>
      <c r="Q27" s="19"/>
      <c r="R27" s="19" t="b">
        <v>0</v>
      </c>
      <c r="S27" s="19"/>
      <c r="T27" s="19"/>
      <c r="U27" s="19" t="b">
        <v>0</v>
      </c>
      <c r="V27" s="19"/>
      <c r="W27" s="19"/>
      <c r="X27" s="19" t="b">
        <v>0</v>
      </c>
      <c r="Y27" s="19"/>
      <c r="Z27" s="19"/>
      <c r="AA27" s="19" t="b">
        <v>0</v>
      </c>
      <c r="AB27" s="19"/>
      <c r="AC27" s="19"/>
      <c r="AD27" s="19" t="b">
        <v>0</v>
      </c>
      <c r="AE27" s="19"/>
      <c r="AF27" s="19"/>
      <c r="AG27" s="19" t="b">
        <v>0</v>
      </c>
      <c r="AH27" s="19"/>
      <c r="AI27" s="19"/>
      <c r="AJ27" s="19" t="b">
        <v>0</v>
      </c>
      <c r="AK27" s="19"/>
      <c r="AL27" s="19"/>
      <c r="AM27" s="19" t="b">
        <v>0</v>
      </c>
      <c r="AN27" s="19"/>
      <c r="AO27" s="19"/>
      <c r="AP27" s="19" t="b">
        <v>0</v>
      </c>
      <c r="AQ27" s="19"/>
      <c r="AR27" s="19"/>
      <c r="AS27" s="19" t="b">
        <v>0</v>
      </c>
      <c r="AT27" s="19"/>
      <c r="AU27" s="19"/>
      <c r="AV27" s="19" t="b">
        <v>0</v>
      </c>
      <c r="AW27" s="18" t="s">
        <v>48</v>
      </c>
      <c r="AX27" s="19"/>
      <c r="AY27" s="19" t="b">
        <v>0</v>
      </c>
      <c r="AZ27" s="19"/>
      <c r="BA27" s="19"/>
      <c r="BB27" s="19" t="b">
        <v>0</v>
      </c>
      <c r="BC27" s="19"/>
      <c r="BD27" s="19"/>
      <c r="BE27" s="18" t="b">
        <v>0</v>
      </c>
      <c r="BF27" s="18"/>
      <c r="BG27" s="19"/>
      <c r="BH27" s="18" t="b">
        <v>1</v>
      </c>
      <c r="BI27" s="18" t="s">
        <v>48</v>
      </c>
      <c r="BJ27" s="18"/>
      <c r="BK27" s="18" t="b">
        <v>1</v>
      </c>
      <c r="BL27" s="18" t="s">
        <v>51</v>
      </c>
      <c r="BM27" s="18" t="s">
        <v>96</v>
      </c>
      <c r="BN27" s="18" t="b">
        <v>1</v>
      </c>
      <c r="BO27" s="18" t="s">
        <v>48</v>
      </c>
      <c r="BP27" s="19"/>
      <c r="BQ27" s="18" t="b">
        <v>0</v>
      </c>
      <c r="BR27" s="18"/>
      <c r="BS27" s="19"/>
      <c r="BT27" s="18" t="b">
        <v>0</v>
      </c>
      <c r="BU27" s="18"/>
      <c r="BV27" s="19"/>
      <c r="BW27" s="18" t="b">
        <v>0</v>
      </c>
      <c r="BX27" s="18"/>
      <c r="BY27" s="19"/>
      <c r="BZ27" s="18" t="b">
        <v>0</v>
      </c>
      <c r="CA27" s="18"/>
      <c r="CB27" s="19"/>
      <c r="CC27" s="34" t="b">
        <v>0</v>
      </c>
      <c r="CD27" s="18"/>
      <c r="CE27" s="21"/>
      <c r="CF27" s="18" t="b">
        <v>0</v>
      </c>
      <c r="CG27" s="18"/>
      <c r="CH27" s="19"/>
      <c r="CI27" s="18" t="b">
        <v>0</v>
      </c>
      <c r="CJ27" s="18"/>
      <c r="CK27" s="19"/>
      <c r="CL27" s="18" t="b">
        <v>0</v>
      </c>
      <c r="CM27" s="18"/>
      <c r="CN27" s="19"/>
    </row>
    <row r="28">
      <c r="A28" s="18">
        <v>25.0</v>
      </c>
      <c r="B28" s="18" t="s">
        <v>97</v>
      </c>
      <c r="C28" s="18" t="b">
        <v>0</v>
      </c>
      <c r="D28" s="19"/>
      <c r="E28" s="19"/>
      <c r="F28" s="19" t="b">
        <v>0</v>
      </c>
      <c r="G28" s="19"/>
      <c r="H28" s="19"/>
      <c r="I28" s="19" t="b">
        <v>0</v>
      </c>
      <c r="J28" s="19"/>
      <c r="K28" s="19"/>
      <c r="L28" s="19" t="b">
        <v>0</v>
      </c>
      <c r="M28" s="19"/>
      <c r="N28" s="19"/>
      <c r="O28" s="19" t="b">
        <v>0</v>
      </c>
      <c r="P28" s="19"/>
      <c r="Q28" s="19"/>
      <c r="R28" s="19" t="b">
        <v>0</v>
      </c>
      <c r="S28" s="19"/>
      <c r="T28" s="19"/>
      <c r="U28" s="19" t="b">
        <v>0</v>
      </c>
      <c r="V28" s="19"/>
      <c r="W28" s="19"/>
      <c r="X28" s="19" t="b">
        <v>0</v>
      </c>
      <c r="Y28" s="19"/>
      <c r="Z28" s="19"/>
      <c r="AA28" s="19" t="b">
        <v>0</v>
      </c>
      <c r="AB28" s="19"/>
      <c r="AC28" s="19"/>
      <c r="AD28" s="19" t="b">
        <v>0</v>
      </c>
      <c r="AE28" s="19"/>
      <c r="AF28" s="19"/>
      <c r="AG28" s="19" t="b">
        <v>0</v>
      </c>
      <c r="AH28" s="19"/>
      <c r="AI28" s="19"/>
      <c r="AJ28" s="19" t="b">
        <v>0</v>
      </c>
      <c r="AK28" s="19"/>
      <c r="AL28" s="19"/>
      <c r="AM28" s="19" t="b">
        <v>0</v>
      </c>
      <c r="AN28" s="19"/>
      <c r="AO28" s="19"/>
      <c r="AP28" s="19" t="b">
        <v>0</v>
      </c>
      <c r="AQ28" s="19"/>
      <c r="AR28" s="19"/>
      <c r="AS28" s="19" t="b">
        <v>0</v>
      </c>
      <c r="AT28" s="19"/>
      <c r="AU28" s="19"/>
      <c r="AV28" s="19" t="b">
        <v>0</v>
      </c>
      <c r="AW28" s="19"/>
      <c r="AX28" s="19"/>
      <c r="AY28" s="19" t="b">
        <v>0</v>
      </c>
      <c r="AZ28" s="19"/>
      <c r="BA28" s="19"/>
      <c r="BB28" s="19" t="b">
        <v>0</v>
      </c>
      <c r="BC28" s="19"/>
      <c r="BD28" s="19"/>
      <c r="BE28" s="18" t="b">
        <v>1</v>
      </c>
      <c r="BF28" s="18" t="s">
        <v>55</v>
      </c>
      <c r="BG28" s="19"/>
      <c r="BH28" s="18" t="b">
        <v>0</v>
      </c>
      <c r="BI28" s="18"/>
      <c r="BJ28" s="18"/>
      <c r="BK28" s="18" t="b">
        <v>0</v>
      </c>
      <c r="BL28" s="18"/>
      <c r="BM28" s="18"/>
      <c r="BN28" s="18" t="b">
        <v>0</v>
      </c>
      <c r="BO28" s="18"/>
      <c r="BP28" s="19"/>
      <c r="BQ28" s="18" t="b">
        <v>0</v>
      </c>
      <c r="BR28" s="18"/>
      <c r="BS28" s="19"/>
      <c r="BT28" s="18" t="b">
        <v>0</v>
      </c>
      <c r="BU28" s="18"/>
      <c r="BV28" s="19"/>
      <c r="BW28" s="18" t="b">
        <v>0</v>
      </c>
      <c r="BX28" s="18"/>
      <c r="BY28" s="19"/>
      <c r="BZ28" s="18" t="b">
        <v>0</v>
      </c>
      <c r="CA28" s="18"/>
      <c r="CB28" s="19"/>
      <c r="CC28" s="34" t="b">
        <v>0</v>
      </c>
      <c r="CD28" s="18"/>
      <c r="CE28" s="21"/>
      <c r="CF28" s="18" t="b">
        <v>0</v>
      </c>
      <c r="CG28" s="18"/>
      <c r="CH28" s="19"/>
      <c r="CI28" s="18" t="b">
        <v>0</v>
      </c>
      <c r="CJ28" s="18"/>
      <c r="CK28" s="19"/>
      <c r="CL28" s="18" t="b">
        <v>0</v>
      </c>
      <c r="CM28" s="18"/>
      <c r="CN28" s="19"/>
    </row>
    <row r="29">
      <c r="A29" s="22">
        <v>26.0</v>
      </c>
      <c r="B29" s="22" t="s">
        <v>98</v>
      </c>
      <c r="C29" s="22" t="b">
        <v>0</v>
      </c>
      <c r="D29" s="23"/>
      <c r="E29" s="23"/>
      <c r="F29" s="23" t="b">
        <v>0</v>
      </c>
      <c r="G29" s="23"/>
      <c r="H29" s="23"/>
      <c r="I29" s="23" t="b">
        <v>0</v>
      </c>
      <c r="J29" s="23"/>
      <c r="K29" s="23"/>
      <c r="L29" s="23" t="b">
        <v>0</v>
      </c>
      <c r="M29" s="23"/>
      <c r="N29" s="23"/>
      <c r="O29" s="23" t="b">
        <v>0</v>
      </c>
      <c r="P29" s="23"/>
      <c r="Q29" s="23"/>
      <c r="R29" s="23" t="b">
        <v>0</v>
      </c>
      <c r="S29" s="23"/>
      <c r="T29" s="23"/>
      <c r="U29" s="23" t="b">
        <v>0</v>
      </c>
      <c r="V29" s="23"/>
      <c r="W29" s="23"/>
      <c r="X29" s="23" t="b">
        <v>0</v>
      </c>
      <c r="Y29" s="23"/>
      <c r="Z29" s="23"/>
      <c r="AA29" s="23" t="b">
        <v>0</v>
      </c>
      <c r="AB29" s="23"/>
      <c r="AC29" s="23"/>
      <c r="AD29" s="23" t="b">
        <v>0</v>
      </c>
      <c r="AE29" s="23"/>
      <c r="AF29" s="23"/>
      <c r="AG29" s="23" t="b">
        <v>0</v>
      </c>
      <c r="AH29" s="23"/>
      <c r="AI29" s="23"/>
      <c r="AJ29" s="22" t="b">
        <v>1</v>
      </c>
      <c r="AK29" s="22" t="s">
        <v>58</v>
      </c>
      <c r="AL29" s="22" t="s">
        <v>99</v>
      </c>
      <c r="AM29" s="23" t="b">
        <v>0</v>
      </c>
      <c r="AN29" s="23"/>
      <c r="AO29" s="23"/>
      <c r="AP29" s="23" t="b">
        <v>0</v>
      </c>
      <c r="AQ29" s="23"/>
      <c r="AR29" s="23"/>
      <c r="AS29" s="23" t="b">
        <v>0</v>
      </c>
      <c r="AT29" s="23"/>
      <c r="AU29" s="23"/>
      <c r="AV29" s="23" t="b">
        <v>0</v>
      </c>
      <c r="AW29" s="23"/>
      <c r="AX29" s="23"/>
      <c r="AY29" s="23" t="b">
        <v>0</v>
      </c>
      <c r="AZ29" s="23"/>
      <c r="BA29" s="23"/>
      <c r="BB29" s="23" t="b">
        <v>0</v>
      </c>
      <c r="BC29" s="23"/>
      <c r="BD29" s="23"/>
      <c r="BE29" s="22" t="b">
        <v>0</v>
      </c>
      <c r="BF29" s="23"/>
      <c r="BG29" s="23"/>
      <c r="BH29" s="22" t="b">
        <v>0</v>
      </c>
      <c r="BI29" s="23"/>
      <c r="BJ29" s="22"/>
      <c r="BK29" s="22" t="b">
        <v>0</v>
      </c>
      <c r="BL29" s="23"/>
      <c r="BM29" s="22"/>
      <c r="BN29" s="22" t="b">
        <v>0</v>
      </c>
      <c r="BO29" s="23"/>
      <c r="BP29" s="23"/>
      <c r="BQ29" s="22" t="b">
        <v>0</v>
      </c>
      <c r="BR29" s="23"/>
      <c r="BS29" s="23"/>
      <c r="BT29" s="22" t="b">
        <v>0</v>
      </c>
      <c r="BU29" s="23"/>
      <c r="BV29" s="23"/>
      <c r="BW29" s="22" t="b">
        <v>0</v>
      </c>
      <c r="BX29" s="23"/>
      <c r="BY29" s="23"/>
      <c r="BZ29" s="22" t="b">
        <v>0</v>
      </c>
      <c r="CA29" s="23"/>
      <c r="CB29" s="23"/>
      <c r="CC29" s="24" t="b">
        <v>0</v>
      </c>
      <c r="CD29" s="23"/>
      <c r="CE29" s="25"/>
      <c r="CF29" s="22" t="b">
        <v>0</v>
      </c>
      <c r="CG29" s="23"/>
      <c r="CH29" s="23"/>
      <c r="CI29" s="22" t="b">
        <v>0</v>
      </c>
      <c r="CJ29" s="23"/>
      <c r="CK29" s="23"/>
      <c r="CL29" s="22" t="b">
        <v>0</v>
      </c>
      <c r="CM29" s="23"/>
      <c r="CN29" s="23"/>
    </row>
    <row r="30">
      <c r="A30" s="18">
        <v>27.0</v>
      </c>
      <c r="B30" s="18" t="s">
        <v>100</v>
      </c>
      <c r="C30" s="18" t="b">
        <v>1</v>
      </c>
      <c r="D30" s="18" t="s">
        <v>55</v>
      </c>
      <c r="E30" s="19"/>
      <c r="F30" s="19" t="b">
        <v>0</v>
      </c>
      <c r="G30" s="19"/>
      <c r="H30" s="19"/>
      <c r="I30" s="19" t="b">
        <v>0</v>
      </c>
      <c r="J30" s="19"/>
      <c r="K30" s="19"/>
      <c r="L30" s="19" t="b">
        <v>0</v>
      </c>
      <c r="M30" s="19"/>
      <c r="N30" s="19"/>
      <c r="O30" s="19" t="b">
        <v>0</v>
      </c>
      <c r="P30" s="18" t="s">
        <v>48</v>
      </c>
      <c r="Q30" s="19"/>
      <c r="R30" s="19" t="b">
        <v>0</v>
      </c>
      <c r="S30" s="19"/>
      <c r="T30" s="19"/>
      <c r="U30" s="19" t="b">
        <v>0</v>
      </c>
      <c r="V30" s="19"/>
      <c r="W30" s="19"/>
      <c r="X30" s="18" t="b">
        <v>1</v>
      </c>
      <c r="Y30" s="18" t="s">
        <v>57</v>
      </c>
      <c r="Z30" s="19"/>
      <c r="AA30" s="19" t="b">
        <v>0</v>
      </c>
      <c r="AB30" s="19"/>
      <c r="AC30" s="19"/>
      <c r="AD30" s="19" t="b">
        <v>0</v>
      </c>
      <c r="AE30" s="19"/>
      <c r="AF30" s="19"/>
      <c r="AG30" s="19" t="b">
        <v>0</v>
      </c>
      <c r="AH30" s="19"/>
      <c r="AI30" s="19"/>
      <c r="AJ30" s="18" t="b">
        <v>0</v>
      </c>
      <c r="AK30" s="19"/>
      <c r="AL30" s="19"/>
      <c r="AM30" s="19" t="b">
        <v>0</v>
      </c>
      <c r="AN30" s="19"/>
      <c r="AO30" s="19"/>
      <c r="AP30" s="19" t="b">
        <v>0</v>
      </c>
      <c r="AQ30" s="19"/>
      <c r="AR30" s="19"/>
      <c r="AS30" s="19" t="b">
        <v>0</v>
      </c>
      <c r="AT30" s="19"/>
      <c r="AU30" s="19"/>
      <c r="AV30" s="19" t="b">
        <v>0</v>
      </c>
      <c r="AW30" s="19"/>
      <c r="AX30" s="19"/>
      <c r="AY30" s="19" t="b">
        <v>0</v>
      </c>
      <c r="AZ30" s="19"/>
      <c r="BA30" s="19"/>
      <c r="BB30" s="19" t="b">
        <v>0</v>
      </c>
      <c r="BC30" s="19"/>
      <c r="BD30" s="19"/>
      <c r="BE30" s="18" t="b">
        <v>0</v>
      </c>
      <c r="BF30" s="19"/>
      <c r="BG30" s="19"/>
      <c r="BH30" s="18" t="b">
        <v>0</v>
      </c>
      <c r="BI30" s="19"/>
      <c r="BJ30" s="18"/>
      <c r="BK30" s="18" t="b">
        <v>0</v>
      </c>
      <c r="BL30" s="19"/>
      <c r="BM30" s="18"/>
      <c r="BN30" s="18" t="b">
        <v>0</v>
      </c>
      <c r="BO30" s="19"/>
      <c r="BP30" s="19"/>
      <c r="BQ30" s="18" t="b">
        <v>0</v>
      </c>
      <c r="BR30" s="19"/>
      <c r="BS30" s="19"/>
      <c r="BT30" s="18" t="b">
        <v>0</v>
      </c>
      <c r="BU30" s="19"/>
      <c r="BV30" s="19"/>
      <c r="BW30" s="18" t="b">
        <v>0</v>
      </c>
      <c r="BX30" s="19"/>
      <c r="BY30" s="19"/>
      <c r="BZ30" s="18" t="b">
        <v>0</v>
      </c>
      <c r="CA30" s="19"/>
      <c r="CB30" s="19"/>
      <c r="CC30" s="34" t="b">
        <v>0</v>
      </c>
      <c r="CD30" s="19"/>
      <c r="CE30" s="21"/>
      <c r="CF30" s="18" t="b">
        <v>0</v>
      </c>
      <c r="CG30" s="19"/>
      <c r="CH30" s="19"/>
      <c r="CI30" s="18" t="b">
        <v>0</v>
      </c>
      <c r="CJ30" s="19"/>
      <c r="CK30" s="19"/>
      <c r="CL30" s="18" t="b">
        <v>0</v>
      </c>
      <c r="CM30" s="19"/>
      <c r="CN30" s="19"/>
    </row>
    <row r="31">
      <c r="A31" s="22">
        <v>28.0</v>
      </c>
      <c r="B31" s="18" t="s">
        <v>101</v>
      </c>
      <c r="C31" s="18" t="b">
        <v>0</v>
      </c>
      <c r="D31" s="19"/>
      <c r="E31" s="19"/>
      <c r="F31" s="19" t="b">
        <v>0</v>
      </c>
      <c r="G31" s="19"/>
      <c r="H31" s="19"/>
      <c r="I31" s="19" t="b">
        <v>0</v>
      </c>
      <c r="J31" s="19"/>
      <c r="K31" s="19"/>
      <c r="L31" s="19" t="b">
        <v>0</v>
      </c>
      <c r="M31" s="19"/>
      <c r="N31" s="19"/>
      <c r="O31" s="19" t="b">
        <v>0</v>
      </c>
      <c r="P31" s="19"/>
      <c r="Q31" s="19"/>
      <c r="R31" s="19" t="b">
        <v>0</v>
      </c>
      <c r="S31" s="19"/>
      <c r="T31" s="19"/>
      <c r="U31" s="19" t="b">
        <v>0</v>
      </c>
      <c r="V31" s="19"/>
      <c r="W31" s="19"/>
      <c r="X31" s="19" t="b">
        <v>0</v>
      </c>
      <c r="Y31" s="19"/>
      <c r="Z31" s="19"/>
      <c r="AA31" s="19" t="b">
        <v>0</v>
      </c>
      <c r="AB31" s="19"/>
      <c r="AC31" s="19"/>
      <c r="AD31" s="19" t="b">
        <v>0</v>
      </c>
      <c r="AE31" s="19"/>
      <c r="AF31" s="19"/>
      <c r="AG31" s="19" t="b">
        <v>0</v>
      </c>
      <c r="AH31" s="19"/>
      <c r="AI31" s="19"/>
      <c r="AJ31" s="19" t="b">
        <v>0</v>
      </c>
      <c r="AK31" s="19"/>
      <c r="AL31" s="19"/>
      <c r="AM31" s="19" t="b">
        <v>0</v>
      </c>
      <c r="AN31" s="19"/>
      <c r="AO31" s="19"/>
      <c r="AP31" s="19" t="b">
        <v>0</v>
      </c>
      <c r="AQ31" s="19"/>
      <c r="AR31" s="19"/>
      <c r="AS31" s="19" t="b">
        <v>0</v>
      </c>
      <c r="AT31" s="19"/>
      <c r="AU31" s="19"/>
      <c r="AV31" s="19" t="b">
        <v>0</v>
      </c>
      <c r="AW31" s="19"/>
      <c r="AX31" s="19"/>
      <c r="AY31" s="19" t="b">
        <v>0</v>
      </c>
      <c r="AZ31" s="19"/>
      <c r="BA31" s="19"/>
      <c r="BB31" s="19" t="b">
        <v>0</v>
      </c>
      <c r="BC31" s="19"/>
      <c r="BD31" s="19"/>
      <c r="BE31" s="18" t="b">
        <v>0</v>
      </c>
      <c r="BF31" s="18"/>
      <c r="BG31" s="19"/>
      <c r="BH31" s="18" t="b">
        <v>0</v>
      </c>
      <c r="BI31" s="18"/>
      <c r="BJ31" s="18"/>
      <c r="BK31" s="18" t="b">
        <v>0</v>
      </c>
      <c r="BL31" s="18"/>
      <c r="BM31" s="18"/>
      <c r="BN31" s="18" t="b">
        <v>0</v>
      </c>
      <c r="BO31" s="18"/>
      <c r="BP31" s="19"/>
      <c r="BQ31" s="18" t="b">
        <v>0</v>
      </c>
      <c r="BR31" s="18"/>
      <c r="BS31" s="19"/>
      <c r="BT31" s="18" t="b">
        <v>0</v>
      </c>
      <c r="BU31" s="18"/>
      <c r="BV31" s="19"/>
      <c r="BW31" s="18" t="b">
        <v>0</v>
      </c>
      <c r="BX31" s="18"/>
      <c r="BY31" s="19"/>
      <c r="BZ31" s="18" t="b">
        <v>0</v>
      </c>
      <c r="CA31" s="18"/>
      <c r="CB31" s="19"/>
      <c r="CC31" s="34" t="b">
        <v>0</v>
      </c>
      <c r="CD31" s="18"/>
      <c r="CE31" s="21"/>
      <c r="CF31" s="18" t="b">
        <v>0</v>
      </c>
      <c r="CG31" s="18"/>
      <c r="CH31" s="19"/>
      <c r="CI31" s="18" t="b">
        <v>0</v>
      </c>
      <c r="CJ31" s="18"/>
      <c r="CK31" s="19"/>
      <c r="CL31" s="18" t="b">
        <v>0</v>
      </c>
      <c r="CM31" s="18"/>
      <c r="CN31" s="19"/>
    </row>
    <row r="32">
      <c r="A32" s="18">
        <v>29.0</v>
      </c>
      <c r="B32" s="18" t="s">
        <v>102</v>
      </c>
      <c r="C32" s="18" t="b">
        <v>0</v>
      </c>
      <c r="D32" s="19"/>
      <c r="E32" s="19"/>
      <c r="F32" s="19" t="b">
        <v>0</v>
      </c>
      <c r="G32" s="19"/>
      <c r="H32" s="19"/>
      <c r="I32" s="19" t="b">
        <v>0</v>
      </c>
      <c r="J32" s="19"/>
      <c r="K32" s="19"/>
      <c r="L32" s="19" t="b">
        <v>0</v>
      </c>
      <c r="M32" s="19"/>
      <c r="N32" s="19"/>
      <c r="O32" s="19" t="b">
        <v>0</v>
      </c>
      <c r="P32" s="19"/>
      <c r="Q32" s="19"/>
      <c r="R32" s="19" t="b">
        <v>0</v>
      </c>
      <c r="S32" s="19"/>
      <c r="T32" s="19"/>
      <c r="U32" s="19" t="b">
        <v>0</v>
      </c>
      <c r="V32" s="19"/>
      <c r="W32" s="19"/>
      <c r="X32" s="18" t="b">
        <v>1</v>
      </c>
      <c r="Y32" s="18" t="s">
        <v>57</v>
      </c>
      <c r="Z32" s="19"/>
      <c r="AA32" s="19" t="b">
        <v>0</v>
      </c>
      <c r="AB32" s="19"/>
      <c r="AC32" s="19"/>
      <c r="AD32" s="19" t="b">
        <v>0</v>
      </c>
      <c r="AE32" s="19"/>
      <c r="AF32" s="19"/>
      <c r="AG32" s="19" t="b">
        <v>0</v>
      </c>
      <c r="AH32" s="19"/>
      <c r="AI32" s="19"/>
      <c r="AJ32" s="19" t="b">
        <v>0</v>
      </c>
      <c r="AK32" s="19"/>
      <c r="AL32" s="19"/>
      <c r="AM32" s="19" t="b">
        <v>0</v>
      </c>
      <c r="AN32" s="19"/>
      <c r="AO32" s="19"/>
      <c r="AP32" s="19" t="b">
        <v>0</v>
      </c>
      <c r="AQ32" s="19"/>
      <c r="AR32" s="19"/>
      <c r="AS32" s="19" t="b">
        <v>0</v>
      </c>
      <c r="AT32" s="19"/>
      <c r="AU32" s="19"/>
      <c r="AV32" s="19" t="b">
        <v>0</v>
      </c>
      <c r="AW32" s="19"/>
      <c r="AX32" s="19"/>
      <c r="AY32" s="19" t="b">
        <v>0</v>
      </c>
      <c r="AZ32" s="19"/>
      <c r="BA32" s="19"/>
      <c r="BB32" s="19" t="b">
        <v>0</v>
      </c>
      <c r="BC32" s="19"/>
      <c r="BD32" s="19"/>
      <c r="BE32" s="18" t="b">
        <v>0</v>
      </c>
      <c r="BF32" s="18"/>
      <c r="BG32" s="19"/>
      <c r="BH32" s="18" t="b">
        <v>0</v>
      </c>
      <c r="BI32" s="18"/>
      <c r="BJ32" s="18"/>
      <c r="BK32" s="18" t="b">
        <v>0</v>
      </c>
      <c r="BL32" s="18"/>
      <c r="BM32" s="18"/>
      <c r="BN32" s="18" t="b">
        <v>0</v>
      </c>
      <c r="BO32" s="18"/>
      <c r="BP32" s="19"/>
      <c r="BQ32" s="18" t="b">
        <v>0</v>
      </c>
      <c r="BR32" s="18"/>
      <c r="BS32" s="19"/>
      <c r="BT32" s="18" t="b">
        <v>0</v>
      </c>
      <c r="BU32" s="18"/>
      <c r="BV32" s="19"/>
      <c r="BW32" s="18" t="b">
        <v>0</v>
      </c>
      <c r="BX32" s="18"/>
      <c r="BY32" s="19"/>
      <c r="BZ32" s="18" t="b">
        <v>0</v>
      </c>
      <c r="CA32" s="18"/>
      <c r="CB32" s="19"/>
      <c r="CC32" s="20" t="b">
        <v>1</v>
      </c>
      <c r="CD32" s="18" t="s">
        <v>48</v>
      </c>
      <c r="CE32" s="30" t="s">
        <v>93</v>
      </c>
      <c r="CF32" s="18" t="b">
        <v>1</v>
      </c>
      <c r="CG32" s="18"/>
      <c r="CH32" s="19"/>
      <c r="CI32" s="18" t="b">
        <v>0</v>
      </c>
      <c r="CJ32" s="18"/>
      <c r="CK32" s="19"/>
      <c r="CL32" s="18" t="b">
        <v>0</v>
      </c>
      <c r="CM32" s="18"/>
      <c r="CN32" s="19"/>
    </row>
    <row r="33">
      <c r="A33" s="22">
        <v>30.0</v>
      </c>
      <c r="B33" s="18" t="s">
        <v>103</v>
      </c>
      <c r="C33" s="18" t="b">
        <v>0</v>
      </c>
      <c r="D33" s="19"/>
      <c r="E33" s="19"/>
      <c r="F33" s="19" t="b">
        <v>0</v>
      </c>
      <c r="G33" s="19"/>
      <c r="H33" s="19"/>
      <c r="I33" s="19" t="b">
        <v>0</v>
      </c>
      <c r="J33" s="19"/>
      <c r="K33" s="19"/>
      <c r="L33" s="19" t="b">
        <v>0</v>
      </c>
      <c r="M33" s="19"/>
      <c r="N33" s="19"/>
      <c r="O33" s="19" t="b">
        <v>0</v>
      </c>
      <c r="P33" s="19"/>
      <c r="Q33" s="19"/>
      <c r="R33" s="18" t="b">
        <v>0</v>
      </c>
      <c r="S33" s="19"/>
      <c r="T33" s="19"/>
      <c r="U33" s="19" t="b">
        <v>0</v>
      </c>
      <c r="V33" s="19"/>
      <c r="W33" s="19"/>
      <c r="X33" s="18" t="b">
        <v>1</v>
      </c>
      <c r="Y33" s="18" t="s">
        <v>48</v>
      </c>
      <c r="Z33" s="26" t="s">
        <v>104</v>
      </c>
      <c r="AA33" s="19" t="b">
        <v>0</v>
      </c>
      <c r="AB33" s="19"/>
      <c r="AC33" s="19"/>
      <c r="AD33" s="19" t="b">
        <v>0</v>
      </c>
      <c r="AE33" s="19"/>
      <c r="AF33" s="19"/>
      <c r="AG33" s="19" t="b">
        <v>0</v>
      </c>
      <c r="AH33" s="19"/>
      <c r="AI33" s="19"/>
      <c r="AJ33" s="19" t="b">
        <v>0</v>
      </c>
      <c r="AK33" s="19"/>
      <c r="AL33" s="19"/>
      <c r="AM33" s="19" t="b">
        <v>0</v>
      </c>
      <c r="AN33" s="19"/>
      <c r="AO33" s="19"/>
      <c r="AP33" s="19" t="b">
        <v>0</v>
      </c>
      <c r="AQ33" s="19"/>
      <c r="AR33" s="19"/>
      <c r="AS33" s="19" t="b">
        <v>0</v>
      </c>
      <c r="AT33" s="19"/>
      <c r="AU33" s="19"/>
      <c r="AV33" s="19" t="b">
        <v>0</v>
      </c>
      <c r="AW33" s="19"/>
      <c r="AX33" s="19"/>
      <c r="AY33" s="19" t="b">
        <v>0</v>
      </c>
      <c r="AZ33" s="19"/>
      <c r="BA33" s="19"/>
      <c r="BB33" s="19" t="b">
        <v>0</v>
      </c>
      <c r="BC33" s="19"/>
      <c r="BD33" s="19"/>
      <c r="BE33" s="18" t="b">
        <v>0</v>
      </c>
      <c r="BF33" s="18"/>
      <c r="BG33" s="19"/>
      <c r="BH33" s="18" t="b">
        <v>0</v>
      </c>
      <c r="BI33" s="18"/>
      <c r="BJ33" s="18"/>
      <c r="BK33" s="18" t="b">
        <v>0</v>
      </c>
      <c r="BL33" s="18"/>
      <c r="BM33" s="18"/>
      <c r="BN33" s="18" t="b">
        <v>0</v>
      </c>
      <c r="BO33" s="18"/>
      <c r="BP33" s="19"/>
      <c r="BQ33" s="18" t="b">
        <v>0</v>
      </c>
      <c r="BR33" s="18"/>
      <c r="BS33" s="19"/>
      <c r="BT33" s="18" t="b">
        <v>0</v>
      </c>
      <c r="BU33" s="18"/>
      <c r="BV33" s="19"/>
      <c r="BW33" s="18" t="b">
        <v>0</v>
      </c>
      <c r="BX33" s="18"/>
      <c r="BY33" s="19"/>
      <c r="BZ33" s="18" t="b">
        <v>0</v>
      </c>
      <c r="CA33" s="18"/>
      <c r="CB33" s="19"/>
      <c r="CC33" s="34" t="b">
        <v>0</v>
      </c>
      <c r="CD33" s="18"/>
      <c r="CE33" s="21"/>
      <c r="CF33" s="18" t="b">
        <v>1</v>
      </c>
      <c r="CG33" s="18"/>
      <c r="CH33" s="19"/>
      <c r="CI33" s="18" t="b">
        <v>0</v>
      </c>
      <c r="CJ33" s="18"/>
      <c r="CK33" s="19"/>
      <c r="CL33" s="18" t="b">
        <v>0</v>
      </c>
      <c r="CM33" s="18"/>
      <c r="CN33" s="19"/>
    </row>
    <row r="34">
      <c r="A34" s="18">
        <v>31.0</v>
      </c>
      <c r="B34" s="18" t="s">
        <v>105</v>
      </c>
      <c r="C34" s="18" t="b">
        <v>0</v>
      </c>
      <c r="D34" s="19"/>
      <c r="E34" s="19"/>
      <c r="F34" s="18" t="b">
        <v>0</v>
      </c>
      <c r="G34" s="19"/>
      <c r="H34" s="19"/>
      <c r="I34" s="18" t="b">
        <v>0</v>
      </c>
      <c r="J34" s="19"/>
      <c r="K34" s="19"/>
      <c r="L34" s="18" t="b">
        <v>0</v>
      </c>
      <c r="M34" s="19"/>
      <c r="N34" s="19"/>
      <c r="O34" s="18" t="b">
        <v>0</v>
      </c>
      <c r="P34" s="19"/>
      <c r="Q34" s="19"/>
      <c r="R34" s="18" t="b">
        <v>0</v>
      </c>
      <c r="S34" s="19"/>
      <c r="T34" s="19"/>
      <c r="U34" s="18" t="b">
        <v>0</v>
      </c>
      <c r="V34" s="19"/>
      <c r="W34" s="19"/>
      <c r="X34" s="18" t="b">
        <v>1</v>
      </c>
      <c r="Y34" s="18" t="s">
        <v>48</v>
      </c>
      <c r="Z34" s="19"/>
      <c r="AA34" s="18" t="b">
        <v>0</v>
      </c>
      <c r="AB34" s="19"/>
      <c r="AC34" s="19"/>
      <c r="AD34" s="18" t="b">
        <v>0</v>
      </c>
      <c r="AE34" s="19"/>
      <c r="AF34" s="19"/>
      <c r="AG34" s="18" t="b">
        <v>0</v>
      </c>
      <c r="AH34" s="19"/>
      <c r="AI34" s="19"/>
      <c r="AJ34" s="18" t="b">
        <v>0</v>
      </c>
      <c r="AK34" s="19"/>
      <c r="AL34" s="19"/>
      <c r="AM34" s="18" t="b">
        <v>0</v>
      </c>
      <c r="AN34" s="19"/>
      <c r="AO34" s="19"/>
      <c r="AP34" s="18" t="b">
        <v>0</v>
      </c>
      <c r="AQ34" s="19"/>
      <c r="AR34" s="19"/>
      <c r="AS34" s="18" t="b">
        <v>0</v>
      </c>
      <c r="AT34" s="19"/>
      <c r="AU34" s="19"/>
      <c r="AV34" s="18" t="b">
        <v>0</v>
      </c>
      <c r="AW34" s="19"/>
      <c r="AX34" s="19"/>
      <c r="AY34" s="18" t="b">
        <v>0</v>
      </c>
      <c r="AZ34" s="19"/>
      <c r="BA34" s="19"/>
      <c r="BB34" s="18" t="b">
        <v>0</v>
      </c>
      <c r="BC34" s="19"/>
      <c r="BD34" s="19"/>
      <c r="BE34" s="18" t="b">
        <v>0</v>
      </c>
      <c r="BF34" s="18"/>
      <c r="BG34" s="19"/>
      <c r="BH34" s="18" t="b">
        <v>0</v>
      </c>
      <c r="BI34" s="18"/>
      <c r="BJ34" s="18"/>
      <c r="BK34" s="18" t="b">
        <v>0</v>
      </c>
      <c r="BL34" s="18"/>
      <c r="BM34" s="18"/>
      <c r="BN34" s="18" t="b">
        <v>0</v>
      </c>
      <c r="BO34" s="18"/>
      <c r="BP34" s="19"/>
      <c r="BQ34" s="18" t="b">
        <v>0</v>
      </c>
      <c r="BR34" s="18"/>
      <c r="BS34" s="19"/>
      <c r="BT34" s="18" t="b">
        <v>0</v>
      </c>
      <c r="BU34" s="18"/>
      <c r="BV34" s="19"/>
      <c r="BW34" s="18" t="b">
        <v>0</v>
      </c>
      <c r="BX34" s="18"/>
      <c r="BY34" s="19"/>
      <c r="BZ34" s="18" t="b">
        <v>0</v>
      </c>
      <c r="CA34" s="18"/>
      <c r="CB34" s="19"/>
      <c r="CC34" s="18" t="b">
        <v>0</v>
      </c>
      <c r="CD34" s="18"/>
      <c r="CE34" s="21"/>
      <c r="CF34" s="18" t="b">
        <v>0</v>
      </c>
      <c r="CG34" s="18"/>
      <c r="CH34" s="19"/>
      <c r="CI34" s="18" t="b">
        <v>0</v>
      </c>
      <c r="CJ34" s="18"/>
      <c r="CK34" s="19"/>
      <c r="CL34" s="18" t="b">
        <v>0</v>
      </c>
      <c r="CM34" s="18"/>
      <c r="CN34" s="19"/>
    </row>
    <row r="35">
      <c r="A35" s="22">
        <v>32.0</v>
      </c>
      <c r="B35" s="22" t="s">
        <v>106</v>
      </c>
      <c r="C35" s="18" t="b">
        <v>0</v>
      </c>
      <c r="D35" s="23"/>
      <c r="E35" s="23"/>
      <c r="F35" s="18" t="b">
        <v>0</v>
      </c>
      <c r="G35" s="23"/>
      <c r="H35" s="23"/>
      <c r="I35" s="18" t="b">
        <v>0</v>
      </c>
      <c r="J35" s="23"/>
      <c r="K35" s="23"/>
      <c r="L35" s="18" t="b">
        <v>0</v>
      </c>
      <c r="M35" s="23"/>
      <c r="N35" s="23"/>
      <c r="O35" s="18" t="b">
        <v>0</v>
      </c>
      <c r="P35" s="23"/>
      <c r="Q35" s="23"/>
      <c r="R35" s="18" t="b">
        <v>0</v>
      </c>
      <c r="S35" s="23"/>
      <c r="T35" s="23"/>
      <c r="U35" s="18" t="b">
        <v>0</v>
      </c>
      <c r="V35" s="23"/>
      <c r="W35" s="23"/>
      <c r="X35" s="18" t="b">
        <v>0</v>
      </c>
      <c r="Y35" s="23"/>
      <c r="Z35" s="23"/>
      <c r="AA35" s="18" t="b">
        <v>0</v>
      </c>
      <c r="AB35" s="23"/>
      <c r="AC35" s="23"/>
      <c r="AD35" s="18" t="b">
        <v>0</v>
      </c>
      <c r="AE35" s="23"/>
      <c r="AF35" s="23"/>
      <c r="AG35" s="18" t="b">
        <v>0</v>
      </c>
      <c r="AH35" s="23"/>
      <c r="AI35" s="23"/>
      <c r="AJ35" s="18" t="b">
        <v>0</v>
      </c>
      <c r="AK35" s="22"/>
      <c r="AL35" s="22"/>
      <c r="AM35" s="18" t="b">
        <v>0</v>
      </c>
      <c r="AN35" s="23"/>
      <c r="AO35" s="23"/>
      <c r="AP35" s="18" t="b">
        <v>0</v>
      </c>
      <c r="AQ35" s="23"/>
      <c r="AR35" s="23"/>
      <c r="AS35" s="18" t="b">
        <v>0</v>
      </c>
      <c r="AT35" s="23"/>
      <c r="AU35" s="23"/>
      <c r="AV35" s="18" t="b">
        <v>0</v>
      </c>
      <c r="AW35" s="23"/>
      <c r="AX35" s="23"/>
      <c r="AY35" s="18" t="b">
        <v>0</v>
      </c>
      <c r="AZ35" s="23"/>
      <c r="BA35" s="23"/>
      <c r="BB35" s="18" t="b">
        <v>0</v>
      </c>
      <c r="BC35" s="23"/>
      <c r="BD35" s="23"/>
      <c r="BE35" s="18" t="b">
        <v>0</v>
      </c>
      <c r="BF35" s="23"/>
      <c r="BG35" s="23"/>
      <c r="BH35" s="18" t="b">
        <v>0</v>
      </c>
      <c r="BI35" s="23"/>
      <c r="BJ35" s="22"/>
      <c r="BK35" s="18" t="b">
        <v>0</v>
      </c>
      <c r="BL35" s="23"/>
      <c r="BM35" s="22"/>
      <c r="BN35" s="18" t="b">
        <v>0</v>
      </c>
      <c r="BO35" s="23"/>
      <c r="BP35" s="23"/>
      <c r="BQ35" s="18" t="b">
        <v>1</v>
      </c>
      <c r="BR35" s="22" t="s">
        <v>51</v>
      </c>
      <c r="BS35" s="22">
        <v>14800.0</v>
      </c>
      <c r="BT35" s="18" t="b">
        <v>0</v>
      </c>
      <c r="BU35" s="23"/>
      <c r="BV35" s="23"/>
      <c r="BW35" s="18" t="b">
        <v>0</v>
      </c>
      <c r="BX35" s="23"/>
      <c r="BY35" s="23"/>
      <c r="BZ35" s="18" t="b">
        <v>0</v>
      </c>
      <c r="CA35" s="23"/>
      <c r="CB35" s="23"/>
      <c r="CC35" s="18" t="b">
        <v>0</v>
      </c>
      <c r="CD35" s="23"/>
      <c r="CE35" s="25"/>
      <c r="CF35" s="18" t="b">
        <v>0</v>
      </c>
      <c r="CG35" s="23"/>
      <c r="CH35" s="23"/>
      <c r="CI35" s="18" t="b">
        <v>0</v>
      </c>
      <c r="CJ35" s="23"/>
      <c r="CK35" s="23"/>
      <c r="CL35" s="18" t="b">
        <v>0</v>
      </c>
      <c r="CM35" s="23"/>
      <c r="CN35" s="23"/>
    </row>
    <row r="36">
      <c r="A36" s="18">
        <v>33.0</v>
      </c>
      <c r="B36" s="18" t="s">
        <v>107</v>
      </c>
      <c r="C36" s="18" t="b">
        <v>1</v>
      </c>
      <c r="D36" s="18"/>
      <c r="E36" s="19"/>
      <c r="F36" s="18" t="b">
        <v>0</v>
      </c>
      <c r="G36" s="19"/>
      <c r="H36" s="19"/>
      <c r="I36" s="18" t="b">
        <v>0</v>
      </c>
      <c r="J36" s="19"/>
      <c r="K36" s="19"/>
      <c r="L36" s="18" t="b">
        <v>0</v>
      </c>
      <c r="M36" s="19"/>
      <c r="N36" s="19"/>
      <c r="O36" s="18" t="b">
        <v>0</v>
      </c>
      <c r="P36" s="18"/>
      <c r="Q36" s="19"/>
      <c r="R36" s="18" t="b">
        <v>0</v>
      </c>
      <c r="S36" s="19"/>
      <c r="T36" s="19"/>
      <c r="U36" s="18" t="b">
        <v>0</v>
      </c>
      <c r="V36" s="19"/>
      <c r="W36" s="19"/>
      <c r="X36" s="18" t="b">
        <v>0</v>
      </c>
      <c r="Y36" s="18"/>
      <c r="Z36" s="19"/>
      <c r="AA36" s="18" t="b">
        <v>0</v>
      </c>
      <c r="AB36" s="19"/>
      <c r="AC36" s="19"/>
      <c r="AD36" s="18" t="b">
        <v>0</v>
      </c>
      <c r="AE36" s="19"/>
      <c r="AF36" s="19"/>
      <c r="AG36" s="18" t="b">
        <v>0</v>
      </c>
      <c r="AH36" s="19"/>
      <c r="AI36" s="19"/>
      <c r="AJ36" s="18" t="b">
        <v>0</v>
      </c>
      <c r="AK36" s="19"/>
      <c r="AL36" s="19"/>
      <c r="AM36" s="18" t="b">
        <v>0</v>
      </c>
      <c r="AN36" s="19"/>
      <c r="AO36" s="19"/>
      <c r="AP36" s="18" t="b">
        <v>0</v>
      </c>
      <c r="AQ36" s="19"/>
      <c r="AR36" s="19"/>
      <c r="AS36" s="18" t="b">
        <v>0</v>
      </c>
      <c r="AT36" s="19"/>
      <c r="AU36" s="19"/>
      <c r="AV36" s="18" t="b">
        <v>1</v>
      </c>
      <c r="AW36" s="18" t="s">
        <v>57</v>
      </c>
      <c r="AX36" s="19"/>
      <c r="AY36" s="18" t="b">
        <v>0</v>
      </c>
      <c r="AZ36" s="19"/>
      <c r="BA36" s="19"/>
      <c r="BB36" s="18" t="b">
        <v>0</v>
      </c>
      <c r="BC36" s="19"/>
      <c r="BD36" s="19"/>
      <c r="BE36" s="18" t="b">
        <v>0</v>
      </c>
      <c r="BF36" s="19"/>
      <c r="BG36" s="19"/>
      <c r="BH36" s="18" t="b">
        <v>0</v>
      </c>
      <c r="BI36" s="19"/>
      <c r="BJ36" s="18"/>
      <c r="BK36" s="18" t="b">
        <v>0</v>
      </c>
      <c r="BL36" s="19"/>
      <c r="BM36" s="18"/>
      <c r="BN36" s="18" t="b">
        <v>0</v>
      </c>
      <c r="BO36" s="19"/>
      <c r="BP36" s="19"/>
      <c r="BQ36" s="18" t="b">
        <v>0</v>
      </c>
      <c r="BR36" s="19"/>
      <c r="BS36" s="19"/>
      <c r="BT36" s="18" t="b">
        <v>0</v>
      </c>
      <c r="BU36" s="19"/>
      <c r="BV36" s="19"/>
      <c r="BW36" s="18" t="b">
        <v>0</v>
      </c>
      <c r="BX36" s="19"/>
      <c r="BY36" s="19"/>
      <c r="BZ36" s="18" t="b">
        <v>0</v>
      </c>
      <c r="CA36" s="19"/>
      <c r="CB36" s="19"/>
      <c r="CC36" s="18" t="b">
        <v>0</v>
      </c>
      <c r="CD36" s="19"/>
      <c r="CE36" s="21"/>
      <c r="CF36" s="18" t="b">
        <v>1</v>
      </c>
      <c r="CG36" s="19"/>
      <c r="CH36" s="19"/>
      <c r="CI36" s="18" t="b">
        <v>0</v>
      </c>
      <c r="CJ36" s="19"/>
      <c r="CK36" s="19"/>
      <c r="CL36" s="18" t="b">
        <v>0</v>
      </c>
      <c r="CM36" s="19"/>
      <c r="CN36" s="19"/>
    </row>
    <row r="38">
      <c r="B38" s="35" t="s">
        <v>108</v>
      </c>
    </row>
    <row r="39">
      <c r="B39" s="36" t="s">
        <v>109</v>
      </c>
    </row>
    <row r="40">
      <c r="B40" s="37" t="s">
        <v>108</v>
      </c>
    </row>
    <row r="41">
      <c r="B41" s="38" t="s">
        <v>108</v>
      </c>
      <c r="C41" s="39"/>
      <c r="D41" s="39"/>
      <c r="E41" s="39"/>
      <c r="F41" s="39"/>
      <c r="G41" s="39"/>
      <c r="H41" s="39"/>
      <c r="I41" s="39"/>
      <c r="J41" s="39"/>
      <c r="K41" s="39"/>
      <c r="L41" s="39"/>
      <c r="M41" s="39"/>
      <c r="N41" s="39"/>
    </row>
    <row r="42">
      <c r="B42" s="40" t="s">
        <v>109</v>
      </c>
    </row>
    <row r="43">
      <c r="B43" s="41" t="s">
        <v>109</v>
      </c>
    </row>
    <row r="44">
      <c r="B44" s="42" t="s">
        <v>108</v>
      </c>
    </row>
    <row r="45">
      <c r="A45" s="43"/>
      <c r="C45" s="44"/>
      <c r="D45" s="44"/>
      <c r="E45" s="44"/>
      <c r="F45" s="44"/>
      <c r="G45" s="44"/>
      <c r="H45" s="44"/>
      <c r="I45" s="44"/>
      <c r="J45" s="44"/>
      <c r="K45" s="44"/>
      <c r="L45" s="44"/>
      <c r="R45" s="44"/>
      <c r="S45" s="44"/>
      <c r="T45" s="44"/>
      <c r="U45" s="44"/>
      <c r="V45" s="44"/>
      <c r="W45" s="44"/>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row>
    <row r="46">
      <c r="A46" s="43"/>
      <c r="B46" s="46"/>
      <c r="I46" s="44"/>
      <c r="J46" s="44"/>
      <c r="K46" s="44"/>
      <c r="L46" s="44"/>
      <c r="R46" s="44"/>
      <c r="S46" s="44"/>
      <c r="T46" s="44"/>
      <c r="U46" s="44"/>
      <c r="V46" s="44"/>
      <c r="W46" s="44"/>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row>
    <row r="47">
      <c r="I47" s="44"/>
      <c r="J47" s="44"/>
      <c r="K47" s="44"/>
      <c r="L47" s="44"/>
      <c r="R47" s="44"/>
      <c r="S47" s="44"/>
      <c r="T47" s="44"/>
      <c r="U47" s="44"/>
      <c r="V47" s="44"/>
      <c r="W47" s="44"/>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row>
    <row r="48">
      <c r="C48" s="47"/>
      <c r="H48" s="44"/>
      <c r="I48" s="44"/>
      <c r="J48" s="44"/>
      <c r="K48" s="44"/>
      <c r="L48" s="44"/>
      <c r="R48" s="44"/>
      <c r="S48" s="44"/>
      <c r="T48" s="44"/>
      <c r="U48" s="44"/>
      <c r="V48" s="44"/>
      <c r="W48" s="44"/>
    </row>
    <row r="49">
      <c r="C49" s="48"/>
      <c r="D49" s="49" t="s">
        <v>110</v>
      </c>
      <c r="E49" s="49" t="s">
        <v>111</v>
      </c>
      <c r="F49" s="49" t="s">
        <v>112</v>
      </c>
      <c r="G49" s="49" t="s">
        <v>113</v>
      </c>
      <c r="H49" s="50"/>
      <c r="I49" s="44"/>
      <c r="J49" s="44"/>
      <c r="K49" s="44"/>
      <c r="L49" s="44"/>
      <c r="R49" s="44"/>
      <c r="S49" s="44"/>
      <c r="T49" s="44"/>
      <c r="U49" s="44"/>
      <c r="V49" s="44"/>
      <c r="W49" s="44"/>
    </row>
    <row r="50">
      <c r="C50" s="48"/>
      <c r="D50" s="51" t="s">
        <v>114</v>
      </c>
      <c r="E50" s="52" t="s">
        <v>115</v>
      </c>
      <c r="F50" s="53">
        <f>IFERROR(__xludf.DUMMYFUNCTION("MIN(IMPORTRANGE(""https://docs.google.com/spreadsheets/d/1xS-A3EoCwaJtKshFtzd2p1opjzPcHDEZ-vucHO9337U/edit"",""Tracking PT Sreeya Sewu!$F$3:$F$10""))"),12080.0)</f>
        <v>12080</v>
      </c>
      <c r="G50" s="54">
        <f>IFERROR(__xludf.DUMMYFUNCTION("MIN(IMPORTRANGE(""https://docs.google.com/spreadsheets/d/1xS-A3EoCwaJtKshFtzd2p1opjzPcHDEZ-vucHO9337U/edit"",""Tracking PT Sreeya Sewu!$I$3:$I$10""))"),5.1944E7)</f>
        <v>51944000</v>
      </c>
      <c r="H50" s="55">
        <f>SUM('Tracking PT Sreeya Sewu'!H3:H72)</f>
        <v>319060000</v>
      </c>
      <c r="I50" s="44"/>
      <c r="J50" s="44"/>
      <c r="K50" s="44"/>
      <c r="L50" s="44"/>
      <c r="R50" s="44"/>
      <c r="S50" s="44"/>
      <c r="T50" s="44"/>
      <c r="U50" s="44"/>
      <c r="V50" s="44"/>
      <c r="W50" s="44"/>
    </row>
    <row r="51">
      <c r="C51" s="48"/>
      <c r="D51" s="56"/>
      <c r="E51" s="57" t="s">
        <v>115</v>
      </c>
      <c r="F51" s="58">
        <f>IFERROR(__xludf.DUMMYFUNCTION("MIN(IMPORTRANGE(""https://docs.google.com/spreadsheets/d/1xS-A3EoCwaJtKshFtzd2p1opjzPcHDEZ-vucHO9337U/edit"",""Tracking PT Sreeya Sewu!$F$11:$F$18""))"),31990.0)</f>
        <v>31990</v>
      </c>
      <c r="G51" s="59">
        <f>IFERROR(__xludf.DUMMYFUNCTION("MIN(IMPORTRANGE(""https://docs.google.com/spreadsheets/d/1xS-A3EoCwaJtKshFtzd2p1opjzPcHDEZ-vucHO9337U/edit"",""Tracking PT Sreeya Sewu!$I$11:$I$18""))"),1.37557E8)</f>
        <v>137557000</v>
      </c>
      <c r="H51" s="60"/>
      <c r="I51" s="44"/>
      <c r="J51" s="44"/>
      <c r="K51" s="44"/>
      <c r="L51" s="44"/>
      <c r="M51" s="44"/>
      <c r="N51" s="44"/>
      <c r="O51" s="44"/>
      <c r="P51" s="44"/>
      <c r="Q51" s="44"/>
      <c r="R51" s="44"/>
      <c r="S51" s="44"/>
      <c r="T51" s="44"/>
      <c r="U51" s="44"/>
      <c r="V51" s="44"/>
      <c r="W51" s="44"/>
    </row>
    <row r="52">
      <c r="C52" s="48"/>
      <c r="D52" s="61"/>
      <c r="E52" s="52" t="s">
        <v>115</v>
      </c>
      <c r="F52" s="53">
        <f>IFERROR(__xludf.DUMMYFUNCTION("MIN(IMPORTRANGE(""https://docs.google.com/spreadsheets/d/1xS-A3EoCwaJtKshFtzd2p1opjzPcHDEZ-vucHO9337U/edit"",""Tracking PT Sreeya Sewu!$F$11:$F$18""))"),31990.0)</f>
        <v>31990</v>
      </c>
      <c r="G52" s="54">
        <f>IFERROR(__xludf.DUMMYFUNCTION("MIN(IMPORTRANGE(""https://docs.google.com/spreadsheets/d/1xS-A3EoCwaJtKshFtzd2p1opjzPcHDEZ-vucHO9337U/edit"",""Tracking PT Sreeya Sewu!IH$19:$I$26""))"),5.14175E7)</f>
        <v>51417500</v>
      </c>
      <c r="H52" s="44"/>
      <c r="I52" s="44"/>
      <c r="J52" s="44"/>
      <c r="K52" s="44"/>
      <c r="L52" s="44"/>
      <c r="M52" s="62" t="s">
        <v>116</v>
      </c>
      <c r="N52" s="63"/>
      <c r="O52" s="63"/>
      <c r="P52" s="63"/>
      <c r="Q52" s="64"/>
      <c r="R52" s="65" t="s">
        <v>117</v>
      </c>
      <c r="S52" s="63"/>
      <c r="T52" s="63"/>
      <c r="U52" s="64"/>
      <c r="V52" s="65" t="s">
        <v>118</v>
      </c>
      <c r="W52" s="63"/>
      <c r="X52" s="63"/>
      <c r="Y52" s="64"/>
    </row>
    <row r="53">
      <c r="C53" s="48"/>
      <c r="D53" s="56"/>
      <c r="E53" s="57" t="s">
        <v>46</v>
      </c>
      <c r="F53" s="58">
        <f>IFERROR(__xludf.DUMMYFUNCTION("MIN(IMPORTRANGE(""https://docs.google.com/spreadsheets/d/1xS-A3EoCwaJtKshFtzd2p1opjzPcHDEZ-vucHO9337U/edit"",""Tracking PT Sreeya Sewu!$F$27:$F$34""))"),3070.0)</f>
        <v>3070</v>
      </c>
      <c r="G53" s="59">
        <f>IFERROR(__xludf.DUMMYFUNCTION("MIN(IMPORTRANGE(""https://docs.google.com/spreadsheets/d/1xS-A3EoCwaJtKshFtzd2p1opjzPcHDEZ-vucHO9337U/edit"",""Tracking PT Sreeya Sewu!$I$27:$I$34""))"),1.5964E7)</f>
        <v>15964000</v>
      </c>
      <c r="H53" s="60"/>
      <c r="I53" s="44"/>
      <c r="J53" s="44"/>
      <c r="K53" s="44"/>
      <c r="L53" s="44"/>
      <c r="M53" s="66"/>
      <c r="Q53" s="67"/>
      <c r="R53" s="66"/>
      <c r="U53" s="67"/>
      <c r="V53" s="66"/>
      <c r="Y53" s="67"/>
    </row>
    <row r="54">
      <c r="C54" s="48"/>
      <c r="D54" s="61"/>
      <c r="E54" s="52" t="s">
        <v>46</v>
      </c>
      <c r="F54" s="53">
        <f>IFERROR(__xludf.DUMMYFUNCTION("MIN(IMPORTRANGE(""https://docs.google.com/spreadsheets/d/1xS-A3EoCwaJtKshFtzd2p1opjzPcHDEZ-vucHO9337U/edit"",""Tracking PT Sreeya Sewu!$F$35:$F$42""))"),10640.0)</f>
        <v>10640</v>
      </c>
      <c r="G54" s="54">
        <f>IFERROR(__xludf.DUMMYFUNCTION("MIN(IMPORTRANGE(""https://docs.google.com/spreadsheets/d/1xS-A3EoCwaJtKshFtzd2p1opjzPcHDEZ-vucHO9337U/edit"",""Tracking PT Sreeya Sewu!$I$35:$I$42""))"),5.4264E7)</f>
        <v>54264000</v>
      </c>
      <c r="H54" s="44"/>
      <c r="I54" s="44"/>
      <c r="J54" s="44"/>
      <c r="K54" s="44"/>
      <c r="L54" s="44"/>
      <c r="M54" s="68"/>
      <c r="Q54" s="69"/>
      <c r="R54" s="68"/>
      <c r="U54" s="69"/>
      <c r="V54" s="68"/>
      <c r="Y54" s="69"/>
    </row>
    <row r="55">
      <c r="C55" s="48"/>
      <c r="D55" s="56"/>
      <c r="E55" s="57" t="s">
        <v>119</v>
      </c>
      <c r="F55" s="58">
        <f>IFERROR(__xludf.DUMMYFUNCTION("MIN(IMPORTRANGE(""https://docs.google.com/spreadsheets/d/1xS-A3EoCwaJtKshFtzd2p1opjzPcHDEZ-vucHO9337U/edit"",""Tracking PT Sreeya Sewu!$F$46:$F$53""))"),50000.0)</f>
        <v>50000</v>
      </c>
      <c r="G55" s="59">
        <f>IFERROR(__xludf.DUMMYFUNCTION("MIN(IMPORTRANGE(""https://docs.google.com/spreadsheets/d/1xS-A3EoCwaJtKshFtzd2p1opjzPcHDEZ-vucHO9337U/edit"",""Tracking PT Sreeya Sewu!$I$46:$I$53""))"),3.95E8)</f>
        <v>395000000</v>
      </c>
      <c r="H55" s="60"/>
      <c r="I55" s="44"/>
      <c r="J55" s="44"/>
      <c r="K55" s="44"/>
      <c r="L55" s="44"/>
      <c r="M55" s="66"/>
      <c r="Q55" s="67"/>
      <c r="R55" s="66"/>
      <c r="U55" s="67"/>
      <c r="V55" s="66"/>
      <c r="Y55" s="67"/>
    </row>
    <row r="56">
      <c r="C56" s="48"/>
      <c r="D56" s="61"/>
      <c r="E56" s="52" t="s">
        <v>88</v>
      </c>
      <c r="F56" s="53">
        <f>IFERROR(__xludf.DUMMYFUNCTION("MIN(IMPORTRANGE(""https://docs.google.com/spreadsheets/d/1xS-A3EoCwaJtKshFtzd2p1opjzPcHDEZ-vucHO9337U/edit"",""Tracking PT Sreeya Sewu!$F$65:$F$72""))"),75000.0)</f>
        <v>75000</v>
      </c>
      <c r="G56" s="54">
        <f>IFERROR(__xludf.DUMMYFUNCTION("MIN(IMPORTRANGE(""https://docs.google.com/spreadsheets/d/1xS-A3EoCwaJtKshFtzd2p1opjzPcHDEZ-vucHO9337U/edit"",""Tracking PT Sreeya Sewu!$I$65:$I$72""))"),3.15E8)</f>
        <v>315000000</v>
      </c>
      <c r="H56" s="44"/>
      <c r="I56" s="44"/>
      <c r="J56" s="44"/>
      <c r="K56" s="44"/>
      <c r="L56" s="44"/>
      <c r="M56" s="68"/>
      <c r="Q56" s="69"/>
      <c r="R56" s="68"/>
      <c r="U56" s="69"/>
      <c r="V56" s="68"/>
      <c r="Y56" s="69"/>
    </row>
    <row r="57">
      <c r="C57" s="48"/>
      <c r="D57" s="70"/>
      <c r="E57" s="57" t="s">
        <v>88</v>
      </c>
      <c r="F57" s="58">
        <f>IFERROR(__xludf.DUMMYFUNCTION("MIN(IMPORTRANGE(""https://docs.google.com/spreadsheets/d/1xS-A3EoCwaJtKshFtzd2p1opjzPcHDEZ-vucHO9337U/edit"",""Tracking PT Sreeya Sewu!$F$73:$F$80""))"),50000.0)</f>
        <v>50000</v>
      </c>
      <c r="G57" s="58">
        <f>IFERROR(__xludf.DUMMYFUNCTION("MIN(IMPORTRANGE(""https://docs.google.com/spreadsheets/d/1xS-A3EoCwaJtKshFtzd2p1opjzPcHDEZ-vucHO9337U/edit"",""Tracking PT Sreeya Sewu!$I$73:$I$80""))"),2.55E8)</f>
        <v>255000000</v>
      </c>
      <c r="H57" s="60"/>
      <c r="I57" s="44"/>
      <c r="J57" s="44"/>
      <c r="K57" s="44"/>
      <c r="L57" s="44"/>
      <c r="M57" s="66"/>
      <c r="Q57" s="67"/>
      <c r="R57" s="66"/>
      <c r="U57" s="67"/>
      <c r="V57" s="66"/>
      <c r="Y57" s="67"/>
    </row>
    <row r="58">
      <c r="C58" s="48"/>
      <c r="D58" s="71"/>
      <c r="H58" s="44"/>
      <c r="I58" s="44"/>
      <c r="J58" s="44"/>
      <c r="K58" s="44"/>
      <c r="L58" s="44"/>
      <c r="M58" s="72"/>
      <c r="N58" s="73"/>
      <c r="O58" s="73"/>
      <c r="P58" s="73"/>
      <c r="Q58" s="74"/>
      <c r="R58" s="72"/>
      <c r="S58" s="73"/>
      <c r="T58" s="73"/>
      <c r="U58" s="74"/>
      <c r="V58" s="72"/>
      <c r="W58" s="73"/>
      <c r="X58" s="73"/>
      <c r="Y58" s="74"/>
    </row>
    <row r="59">
      <c r="C59" s="44"/>
      <c r="D59" s="75"/>
      <c r="E59" s="44"/>
      <c r="F59" s="44"/>
      <c r="G59" s="44"/>
      <c r="H59" s="44"/>
      <c r="I59" s="44"/>
      <c r="J59" s="44"/>
      <c r="K59" s="44"/>
      <c r="L59" s="44"/>
      <c r="M59" s="76">
        <f>SUM('Tracking PT Sreeya Sewu'!I3,'Tracking PT Sreeya Sewu Balaraj'!I3,'Tracking PT Dinamika Megatama C'!I3,'Tracking PT Dinamika Megatama C'!I11,'Tracking PT Dinamika Megatama C'!I19,'Tracking PT Matahari Sakti'!I3,'Tracking CJ Serang'!I3,'Tracking CJ Jateng'!I3,'Tracking PT CJ  Jombang'!I3,'Tracking PT CJ  Jombang'!I11,'Tracking PT Central Proteina Pr'!I11,'Tracking PT Central Proteina Pr'!I19,'Tracking PT Central Proteina Pr'!I27,'Tracking PT Charoen Pokphand Kr'!I3,'Tracking PT Haida Agriculture'!I3,'Tracking PT Haida Agriculture'!I11,'Tracking PT Cargill'!I3,'Sari Rosa'!I3)</f>
        <v>4476932725</v>
      </c>
      <c r="N59" s="77"/>
      <c r="O59" s="77"/>
      <c r="P59" s="77"/>
      <c r="Q59" s="78"/>
      <c r="R59" s="79">
        <v>1.3E9</v>
      </c>
      <c r="S59" s="77"/>
      <c r="T59" s="77"/>
      <c r="U59" s="78"/>
      <c r="V59" s="79">
        <v>5.2E9</v>
      </c>
      <c r="W59" s="77"/>
      <c r="X59" s="77"/>
      <c r="Y59" s="78"/>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row>
    <row r="60">
      <c r="D60" s="80"/>
      <c r="H60" s="44"/>
      <c r="I60" s="44"/>
      <c r="J60" s="44"/>
      <c r="K60" s="44"/>
      <c r="L60" s="44"/>
      <c r="M60" s="68"/>
      <c r="Q60" s="69"/>
      <c r="R60" s="68"/>
      <c r="U60" s="69"/>
      <c r="V60" s="68"/>
      <c r="Y60" s="69"/>
    </row>
    <row r="61">
      <c r="C61" s="44"/>
      <c r="I61" s="44"/>
      <c r="J61" s="44"/>
      <c r="K61" s="44"/>
      <c r="L61" s="44"/>
      <c r="M61" s="81"/>
      <c r="N61" s="82"/>
      <c r="O61" s="82"/>
      <c r="P61" s="82"/>
      <c r="Q61" s="83"/>
      <c r="R61" s="81"/>
      <c r="S61" s="82"/>
      <c r="T61" s="82"/>
      <c r="U61" s="83"/>
      <c r="V61" s="81"/>
      <c r="W61" s="82"/>
      <c r="X61" s="82"/>
      <c r="Y61" s="83"/>
    </row>
    <row r="62">
      <c r="C62" s="44"/>
      <c r="I62" s="44"/>
      <c r="J62" s="44"/>
      <c r="K62" s="44"/>
      <c r="L62" s="44"/>
      <c r="M62" s="44"/>
      <c r="N62" s="44"/>
      <c r="O62" s="44"/>
      <c r="P62" s="44"/>
      <c r="Q62" s="44"/>
      <c r="R62" s="44"/>
      <c r="S62" s="44"/>
      <c r="T62" s="44"/>
      <c r="U62" s="44"/>
      <c r="V62" s="44"/>
      <c r="W62" s="44"/>
    </row>
    <row r="63">
      <c r="C63" s="44"/>
      <c r="I63" s="44"/>
      <c r="J63" s="44"/>
      <c r="K63" s="44"/>
      <c r="L63" s="44"/>
      <c r="M63" s="84" t="s">
        <v>120</v>
      </c>
      <c r="N63" s="85"/>
      <c r="O63" s="85"/>
      <c r="P63" s="85"/>
      <c r="Q63" s="86"/>
      <c r="R63" s="87" t="s">
        <v>121</v>
      </c>
      <c r="S63" s="85"/>
      <c r="T63" s="85"/>
      <c r="U63" s="86"/>
      <c r="V63" s="88" t="s">
        <v>122</v>
      </c>
      <c r="W63" s="85"/>
      <c r="X63" s="85"/>
      <c r="Y63" s="86"/>
    </row>
    <row r="64">
      <c r="C64" s="44"/>
      <c r="D64" s="89" t="s">
        <v>110</v>
      </c>
      <c r="E64" s="89" t="s">
        <v>111</v>
      </c>
      <c r="F64" s="89" t="s">
        <v>112</v>
      </c>
      <c r="G64" s="89" t="s">
        <v>113</v>
      </c>
      <c r="H64" s="90"/>
      <c r="I64" s="44"/>
      <c r="J64" s="44"/>
      <c r="K64" s="44"/>
      <c r="L64" s="44"/>
      <c r="M64" s="66"/>
      <c r="Q64" s="67"/>
      <c r="R64" s="66"/>
      <c r="U64" s="67"/>
      <c r="V64" s="66"/>
      <c r="Y64" s="67"/>
    </row>
    <row r="65">
      <c r="C65" s="44"/>
      <c r="D65" s="51" t="s">
        <v>123</v>
      </c>
      <c r="E65" s="52" t="s">
        <v>115</v>
      </c>
      <c r="F65" s="53">
        <f>IFERROR(__xludf.DUMMYFUNCTION("MIN(IMPORTRANGE(""https://docs.google.com/spreadsheets/d/1xS-A3EoCwaJtKshFtzd2p1opjzPcHDEZ-vucHO9337U/edit?usp=sharing"",""Tracking PT Sreeya Sewu Balaraja!F3:F10""))"),34660.0)</f>
        <v>34660</v>
      </c>
      <c r="G65" s="54">
        <f>IFERROR(__xludf.DUMMYFUNCTION("MIN(IMPORTRANGE(""https://docs.google.com/spreadsheets/d/1xS-A3EoCwaJtKshFtzd2p1opjzPcHDEZ-vucHO9337U/edit?usp=sharing"",""Tracking PT Sreeya Sewu Balaraja!I3:I10""))"),1.516375E8)</f>
        <v>151637500</v>
      </c>
      <c r="H65" s="55">
        <f>sum('Tracking PT Sreeya Sewu Balaraj'!H3:H44)</f>
        <v>530600000</v>
      </c>
      <c r="I65" s="44"/>
      <c r="J65" s="44"/>
      <c r="K65" s="44"/>
      <c r="L65" s="44"/>
      <c r="M65" s="91"/>
      <c r="N65" s="92"/>
      <c r="O65" s="92"/>
      <c r="P65" s="92"/>
      <c r="Q65" s="93"/>
      <c r="R65" s="91"/>
      <c r="S65" s="92"/>
      <c r="T65" s="92"/>
      <c r="U65" s="93"/>
      <c r="V65" s="91"/>
      <c r="W65" s="92"/>
      <c r="X65" s="92"/>
      <c r="Y65" s="93"/>
    </row>
    <row r="66">
      <c r="C66" s="44"/>
      <c r="D66" s="94"/>
      <c r="E66" s="95" t="s">
        <v>124</v>
      </c>
      <c r="F66" s="96">
        <f>IFERROR(__xludf.DUMMYFUNCTION("MIN(IMPORTRANGE(""https://docs.google.com/spreadsheets/d/1xS-A3EoCwaJtKshFtzd2p1opjzPcHDEZ-vucHO9337U/edit?usp=sharing"",""Tracking PT Sreeya Sewu Balaraja!F11:F18""))"),-4260.0)</f>
        <v>-4260</v>
      </c>
      <c r="G66" s="97">
        <f>IFERROR(__xludf.DUMMYFUNCTION("MIN(IMPORTRANGE(""https://docs.google.com/spreadsheets/d/1xS-A3EoCwaJtKshFtzd2p1opjzPcHDEZ-vucHO9337U/edit?usp=sharing"",""Tracking PT Sreeya Sewu Balaraja!I11:I18""))"),-1.86375E7)</f>
        <v>-18637500</v>
      </c>
      <c r="H66" s="96"/>
      <c r="I66" s="44"/>
      <c r="J66" s="44"/>
      <c r="K66" s="44"/>
      <c r="L66" s="44"/>
      <c r="M66" s="98">
        <f>SUM(H50,H65,H70,H76,H86,H92,H103,H109,H81,H87,H118)</f>
        <v>2832313818</v>
      </c>
      <c r="N66" s="77"/>
      <c r="O66" s="77"/>
      <c r="P66" s="77"/>
      <c r="Q66" s="78"/>
      <c r="R66" s="98">
        <f>SUM(M59-M66)</f>
        <v>1644618907</v>
      </c>
      <c r="S66" s="77"/>
      <c r="T66" s="77"/>
      <c r="U66" s="78"/>
      <c r="V66" s="99">
        <f>((M66-1300000000)/1300000000*100%)/7</f>
        <v>0.1683861338</v>
      </c>
      <c r="W66" s="77"/>
      <c r="X66" s="77"/>
      <c r="Y66" s="78"/>
    </row>
    <row r="67">
      <c r="C67" s="44"/>
      <c r="D67" s="100"/>
      <c r="E67" s="52" t="s">
        <v>65</v>
      </c>
      <c r="F67" s="53">
        <f>IFERROR(__xludf.DUMMYFUNCTION("MIN(IMPORTRANGE(""https://docs.google.com/spreadsheets/d/1xS-A3EoCwaJtKshFtzd2p1opjzPcHDEZ-vucHO9337U/edit"",""Tracking PT Sreeya Sewu Balaraja!$F$30:$F$44""))"),50000.0)</f>
        <v>50000</v>
      </c>
      <c r="G67" s="54">
        <f>IFERROR(__xludf.DUMMYFUNCTION("MIN(IMPORTRANGE(""https://docs.google.com/spreadsheets/d/1xS-A3EoCwaJtKshFtzd2p1opjzPcHDEZ-vucHO9337U/edit"",""Tracking PT Sreeya Sewu Balaraja!$I$30:$I$44""))"),2.2E8)</f>
        <v>220000000</v>
      </c>
      <c r="H67" s="44"/>
      <c r="I67" s="44"/>
      <c r="J67" s="44"/>
      <c r="K67" s="44"/>
      <c r="L67" s="44"/>
      <c r="M67" s="101"/>
      <c r="Q67" s="102"/>
      <c r="R67" s="101"/>
      <c r="U67" s="102"/>
      <c r="V67" s="101"/>
      <c r="Y67" s="102"/>
    </row>
    <row r="68">
      <c r="C68" s="44"/>
      <c r="D68" s="44"/>
      <c r="E68" s="44"/>
      <c r="F68" s="44"/>
      <c r="G68" s="44"/>
      <c r="H68" s="44"/>
      <c r="I68" s="44"/>
      <c r="J68" s="44"/>
      <c r="K68" s="44"/>
      <c r="L68" s="44"/>
      <c r="M68" s="66"/>
      <c r="Q68" s="67"/>
      <c r="R68" s="66"/>
      <c r="U68" s="67"/>
      <c r="V68" s="66"/>
      <c r="Y68" s="67"/>
    </row>
    <row r="69">
      <c r="C69" s="44"/>
      <c r="D69" s="103" t="s">
        <v>110</v>
      </c>
      <c r="E69" s="103" t="s">
        <v>111</v>
      </c>
      <c r="F69" s="103" t="s">
        <v>112</v>
      </c>
      <c r="G69" s="103" t="s">
        <v>113</v>
      </c>
      <c r="H69" s="104"/>
      <c r="I69" s="44"/>
      <c r="J69" s="44"/>
      <c r="K69" s="44"/>
      <c r="L69" s="44"/>
      <c r="M69" s="101"/>
      <c r="Q69" s="102"/>
      <c r="R69" s="101"/>
      <c r="U69" s="102"/>
      <c r="V69" s="101"/>
      <c r="Y69" s="102"/>
    </row>
    <row r="70">
      <c r="C70" s="44"/>
      <c r="D70" s="51" t="s">
        <v>125</v>
      </c>
      <c r="E70" s="52" t="s">
        <v>61</v>
      </c>
      <c r="F70" s="53">
        <f>IFERROR(__xludf.DUMMYFUNCTION("MIN(IMPORTRANGE(""https://docs.google.com/spreadsheets/d/1xS-A3EoCwaJtKshFtzd2p1opjzPcHDEZ-vucHO9337U/edit?usp=sharing"",""Tracking PT Dinamika Megatama Citra!F3:F10""))"),-4010.0)</f>
        <v>-4010</v>
      </c>
      <c r="G70" s="54">
        <f>IFERROR(__xludf.DUMMYFUNCTION("MIN(IMPORTRANGE(""https://docs.google.com/spreadsheets/d/1xS-A3EoCwaJtKshFtzd2p1opjzPcHDEZ-vucHO9337U/edit?usp=sharing"",""Tracking PT Dinamika Megatama Citra!I3:I10""))"),-1.6441E7)</f>
        <v>-16441000</v>
      </c>
      <c r="H70" s="55">
        <f>sum('Tracking PT Dinamika Megatama C'!H3:H26)</f>
        <v>148256000</v>
      </c>
      <c r="I70" s="44"/>
      <c r="J70" s="44"/>
      <c r="K70" s="44"/>
      <c r="L70" s="44"/>
      <c r="M70" s="81"/>
      <c r="N70" s="82"/>
      <c r="O70" s="82"/>
      <c r="P70" s="82"/>
      <c r="Q70" s="83"/>
      <c r="R70" s="81"/>
      <c r="S70" s="82"/>
      <c r="T70" s="82"/>
      <c r="U70" s="83"/>
      <c r="V70" s="81"/>
      <c r="W70" s="82"/>
      <c r="X70" s="82"/>
      <c r="Y70" s="83"/>
    </row>
    <row r="71">
      <c r="C71" s="44"/>
      <c r="D71" s="105"/>
      <c r="E71" s="106" t="s">
        <v>126</v>
      </c>
      <c r="F71" s="107">
        <f>IFERROR(__xludf.DUMMYFUNCTION("MIN(IMPORTRANGE(""https://docs.google.com/spreadsheets/d/1xS-A3EoCwaJtKshFtzd2p1opjzPcHDEZ-vucHO9337U/edit?usp=sharing"",""Tracking PT Dinamika Megatama Citra!F11:F18""))"),1700.0)</f>
        <v>1700</v>
      </c>
      <c r="G71" s="108">
        <f>IFERROR(__xludf.DUMMYFUNCTION("MIN(IMPORTRANGE(""https://docs.google.com/spreadsheets/d/1xS-A3EoCwaJtKshFtzd2p1opjzPcHDEZ-vucHO9337U/edit?usp=sharing"",""Tracking PT Dinamika Megatama Citra!I11:I18""))"),7480000.0)</f>
        <v>7480000</v>
      </c>
      <c r="H71" s="109"/>
      <c r="I71" s="44"/>
      <c r="J71" s="44"/>
      <c r="K71" s="44"/>
      <c r="L71" s="44"/>
      <c r="M71" s="44"/>
      <c r="N71" s="44"/>
      <c r="O71" s="44"/>
      <c r="P71" s="44"/>
      <c r="Q71" s="44"/>
      <c r="R71" s="44"/>
      <c r="S71" s="44"/>
      <c r="T71" s="44"/>
      <c r="U71" s="44"/>
      <c r="V71" s="44"/>
      <c r="W71" s="44"/>
    </row>
    <row r="72">
      <c r="C72" s="44"/>
      <c r="D72" s="100"/>
      <c r="E72" s="52" t="s">
        <v>127</v>
      </c>
      <c r="F72" s="53">
        <f>IFERROR(__xludf.DUMMYFUNCTION("MIN(IMPORTRANGE(""https://docs.google.com/spreadsheets/d/1xS-A3EoCwaJtKshFtzd2p1opjzPcHDEZ-vucHO9337U/edit?usp=sharing"",""Tracking PT Dinamika Megatama Citra!F19:F26""))"),50000.0)</f>
        <v>50000</v>
      </c>
      <c r="G72" s="54">
        <f>IFERROR(__xludf.DUMMYFUNCTION("MIN(IMPORTRANGE(""https://docs.google.com/spreadsheets/d/1xS-A3EoCwaJtKshFtzd2p1opjzPcHDEZ-vucHO9337U/edit?usp=sharing"",""Tracking PT Dinamika Megatama Citra!I19:I26""))"),2.05E8)</f>
        <v>205000000</v>
      </c>
      <c r="H72" s="44"/>
      <c r="I72" s="44"/>
      <c r="J72" s="44"/>
      <c r="K72" s="44"/>
      <c r="L72" s="44"/>
      <c r="M72" s="44"/>
      <c r="N72" s="44"/>
      <c r="O72" s="44"/>
      <c r="P72" s="44"/>
      <c r="Q72" s="110" t="s">
        <v>128</v>
      </c>
      <c r="R72" s="111"/>
      <c r="S72" s="111"/>
      <c r="T72" s="111"/>
      <c r="U72" s="111"/>
      <c r="V72" s="112"/>
      <c r="W72" s="44"/>
    </row>
    <row r="73">
      <c r="C73" s="44"/>
      <c r="D73" s="44"/>
      <c r="E73" s="44"/>
      <c r="F73" s="44"/>
      <c r="G73" s="44"/>
      <c r="H73" s="44"/>
      <c r="I73" s="44"/>
      <c r="J73" s="44"/>
      <c r="K73" s="44"/>
      <c r="L73" s="44"/>
      <c r="M73" s="44"/>
      <c r="N73" s="44"/>
      <c r="O73" s="44"/>
      <c r="P73" s="44"/>
      <c r="Q73" s="113"/>
      <c r="V73" s="114"/>
      <c r="W73" s="44"/>
    </row>
    <row r="74">
      <c r="C74" s="44"/>
      <c r="D74" s="44"/>
      <c r="E74" s="44"/>
      <c r="F74" s="44"/>
      <c r="G74" s="44"/>
      <c r="H74" s="44"/>
      <c r="I74" s="44"/>
      <c r="J74" s="44"/>
      <c r="K74" s="44"/>
      <c r="L74" s="44"/>
      <c r="M74" s="44"/>
      <c r="N74" s="44"/>
      <c r="O74" s="44"/>
      <c r="P74" s="44"/>
      <c r="Q74" s="115"/>
      <c r="R74" s="10"/>
      <c r="S74" s="10"/>
      <c r="T74" s="10"/>
      <c r="U74" s="10"/>
      <c r="V74" s="11"/>
      <c r="W74" s="44"/>
    </row>
    <row r="75">
      <c r="C75" s="44"/>
      <c r="D75" s="116" t="s">
        <v>110</v>
      </c>
      <c r="E75" s="116" t="s">
        <v>111</v>
      </c>
      <c r="F75" s="116" t="s">
        <v>112</v>
      </c>
      <c r="G75" s="116" t="s">
        <v>113</v>
      </c>
      <c r="H75" s="117"/>
      <c r="I75" s="44"/>
      <c r="J75" s="44"/>
      <c r="K75" s="44"/>
      <c r="L75" s="44"/>
      <c r="M75" s="44"/>
      <c r="N75" s="44"/>
      <c r="O75" s="44"/>
      <c r="P75" s="44"/>
      <c r="Q75" s="118">
        <f>SUM((M59-5200000000)/5200000000*100%)</f>
        <v>-0.139051399</v>
      </c>
      <c r="R75" s="111"/>
      <c r="S75" s="111"/>
      <c r="T75" s="111"/>
      <c r="U75" s="111"/>
      <c r="V75" s="112"/>
      <c r="W75" s="44"/>
    </row>
    <row r="76">
      <c r="C76" s="44"/>
      <c r="D76" s="119" t="s">
        <v>129</v>
      </c>
      <c r="E76" s="116" t="s">
        <v>130</v>
      </c>
      <c r="F76" s="120">
        <f>IFERROR(__xludf.DUMMYFUNCTION("MIN(IMPORTRANGE(""https://docs.google.com/spreadsheets/d/1xS-A3EoCwaJtKshFtzd2p1opjzPcHDEZ-vucHO9337U/edit"",""Tracking CJ Serang!F3:F10""))"),50689.0)</f>
        <v>50689</v>
      </c>
      <c r="G76" s="121">
        <f>IFERROR(__xludf.DUMMYFUNCTION("MIN(IMPORTRANGE(""https://docs.google.com/spreadsheets/d/1xS-A3EoCwaJtKshFtzd2p1opjzPcHDEZ-vucHO9337U/edit"",""Tracking CJ Serang!H3:H10""))"),0.0)</f>
        <v>0</v>
      </c>
      <c r="H76" s="122">
        <f>SUM('Tracking CJ Serang'!H3:H29)</f>
        <v>136833000</v>
      </c>
      <c r="I76" s="44"/>
      <c r="J76" s="44"/>
      <c r="K76" s="44"/>
      <c r="L76" s="44"/>
      <c r="M76" s="44"/>
      <c r="N76" s="44"/>
      <c r="O76" s="44"/>
      <c r="P76" s="44"/>
      <c r="Q76" s="113"/>
      <c r="V76" s="114"/>
      <c r="W76" s="44"/>
    </row>
    <row r="77">
      <c r="C77" s="44"/>
      <c r="D77" s="119" t="s">
        <v>129</v>
      </c>
      <c r="E77" s="116" t="s">
        <v>61</v>
      </c>
      <c r="F77" s="120">
        <f>IFERROR(__xludf.DUMMYFUNCTION("MIN(IMPORTRANGE(""https://docs.google.com/spreadsheets/d/1xS-A3EoCwaJtKshFtzd2p1opjzPcHDEZ-vucHO9337U/edit"",""Tracking CJ Serang!F22:F29""))"),100000.0)</f>
        <v>100000</v>
      </c>
      <c r="G77" s="121">
        <f>IFERROR(__xludf.DUMMYFUNCTION("MIN(IMPORTRANGE(""https://docs.google.com/spreadsheets/d/1xS-A3EoCwaJtKshFtzd2p1opjzPcHDEZ-vucHO9337U/edit"",""Tracking CJ Serang!H22:H29""))"),0.0)</f>
        <v>0</v>
      </c>
      <c r="H77" s="123"/>
      <c r="I77" s="44"/>
      <c r="J77" s="44"/>
      <c r="K77" s="44"/>
      <c r="L77" s="44"/>
      <c r="M77" s="44"/>
      <c r="N77" s="44"/>
      <c r="O77" s="44"/>
      <c r="P77" s="44"/>
      <c r="Q77" s="113"/>
      <c r="V77" s="114"/>
      <c r="W77" s="44"/>
    </row>
    <row r="78">
      <c r="C78" s="44"/>
      <c r="I78" s="44"/>
      <c r="J78" s="44"/>
      <c r="K78" s="44"/>
      <c r="L78" s="44"/>
      <c r="M78" s="44"/>
      <c r="N78" s="44"/>
      <c r="O78" s="44"/>
      <c r="P78" s="44"/>
      <c r="Q78" s="113"/>
      <c r="V78" s="114"/>
      <c r="W78" s="44"/>
    </row>
    <row r="79">
      <c r="C79" s="124"/>
      <c r="D79" s="44"/>
      <c r="E79" s="44"/>
      <c r="F79" s="44"/>
      <c r="G79" s="44"/>
      <c r="H79" s="44"/>
      <c r="I79" s="44"/>
      <c r="J79" s="44"/>
      <c r="K79" s="44"/>
      <c r="L79" s="44"/>
      <c r="M79" s="44"/>
      <c r="N79" s="44"/>
      <c r="O79" s="44"/>
      <c r="P79" s="44"/>
      <c r="Q79" s="113"/>
      <c r="V79" s="114"/>
      <c r="W79" s="125"/>
    </row>
    <row r="80">
      <c r="D80" s="116" t="s">
        <v>110</v>
      </c>
      <c r="E80" s="116" t="s">
        <v>111</v>
      </c>
      <c r="F80" s="116" t="s">
        <v>112</v>
      </c>
      <c r="G80" s="116" t="s">
        <v>113</v>
      </c>
      <c r="H80" s="117"/>
      <c r="I80" s="44"/>
      <c r="J80" s="44"/>
      <c r="K80" s="44"/>
      <c r="L80" s="44"/>
      <c r="M80" s="44"/>
      <c r="N80" s="44"/>
      <c r="O80" s="44"/>
      <c r="P80" s="44"/>
      <c r="Q80" s="115"/>
      <c r="R80" s="10"/>
      <c r="S80" s="10"/>
      <c r="T80" s="10"/>
      <c r="U80" s="10"/>
      <c r="V80" s="11"/>
    </row>
    <row r="81">
      <c r="D81" s="119" t="s">
        <v>131</v>
      </c>
      <c r="E81" s="116" t="s">
        <v>130</v>
      </c>
      <c r="F81" s="116">
        <f>IFERROR(__xludf.DUMMYFUNCTION("MIN(IMPORTRANGE(""https://docs.google.com/spreadsheets/d/1xS-A3EoCwaJtKshFtzd2p1opjzPcHDEZ-vucHO9337U/edit"",""Tracking CJ Jateng!F3:F10""))"),33943.0)</f>
        <v>33943</v>
      </c>
      <c r="G81" s="126">
        <f>IFERROR(__xludf.DUMMYFUNCTION("MIN(IMPORTRANGE(""https://docs.google.com/spreadsheets/d/1xS-A3EoCwaJtKshFtzd2p1opjzPcHDEZ-vucHO9337U/edit"",""Tracking CJ Jateng!H3:H10""))"),0.0)</f>
        <v>0</v>
      </c>
      <c r="H81" s="127">
        <f>SUM('Tracking CJ Jateng'!I3:I10)</f>
        <v>144257750</v>
      </c>
      <c r="I81" s="44"/>
      <c r="J81" s="44"/>
      <c r="K81" s="44"/>
      <c r="L81" s="44"/>
      <c r="M81" s="44"/>
      <c r="N81" s="44"/>
      <c r="O81" s="44"/>
      <c r="P81" s="44"/>
      <c r="Q81" s="44"/>
      <c r="R81" s="44"/>
      <c r="S81" s="44"/>
      <c r="T81" s="44"/>
      <c r="U81" s="44"/>
      <c r="V81" s="44"/>
    </row>
    <row r="82">
      <c r="D82" s="119" t="s">
        <v>131</v>
      </c>
      <c r="E82" s="116" t="s">
        <v>61</v>
      </c>
      <c r="F82" s="116">
        <f>IFERROR(__xludf.DUMMYFUNCTION("MIN(IMPORTRANGE(""https://docs.google.com/spreadsheets/d/1xS-A3EoCwaJtKshFtzd2p1opjzPcHDEZ-vucHO9337U/edit"",""Tracking CJ Jateng!F3:F10""))"),33943.0)</f>
        <v>33943</v>
      </c>
      <c r="G82" s="126">
        <f>IFERROR(__xludf.DUMMYFUNCTION("MIN(IMPORTRANGE(""https://docs.google.com/spreadsheets/d/1xS-A3EoCwaJtKshFtzd2p1opjzPcHDEZ-vucHO9337U/edit"",""Tracking CJ Jateng!H3:H10""))"),0.0)</f>
        <v>0</v>
      </c>
      <c r="H82" s="123"/>
      <c r="I82" s="44"/>
      <c r="J82" s="44"/>
      <c r="K82" s="44"/>
      <c r="L82" s="44"/>
      <c r="M82" s="44"/>
      <c r="N82" s="44"/>
      <c r="O82" s="44"/>
      <c r="P82" s="44"/>
      <c r="Q82" s="44"/>
      <c r="R82" s="44"/>
      <c r="S82" s="44"/>
      <c r="T82" s="44"/>
      <c r="U82" s="44"/>
      <c r="V82" s="44"/>
    </row>
    <row r="83">
      <c r="D83" s="128"/>
      <c r="E83" s="129"/>
      <c r="F83" s="129"/>
      <c r="G83" s="125"/>
      <c r="H83" s="125"/>
      <c r="I83" s="44"/>
      <c r="J83" s="44"/>
      <c r="K83" s="44"/>
      <c r="L83" s="44"/>
      <c r="M83" s="44"/>
      <c r="N83" s="44"/>
      <c r="O83" s="44"/>
      <c r="P83" s="44"/>
      <c r="Q83" s="44"/>
      <c r="R83" s="44"/>
      <c r="S83" s="44"/>
      <c r="T83" s="44"/>
      <c r="U83" s="44"/>
      <c r="V83" s="44"/>
    </row>
    <row r="84">
      <c r="I84" s="44"/>
      <c r="J84" s="44"/>
      <c r="K84" s="44"/>
      <c r="L84" s="44"/>
      <c r="M84" s="44"/>
      <c r="N84" s="44"/>
      <c r="O84" s="44"/>
      <c r="P84" s="44"/>
      <c r="Q84" s="44"/>
      <c r="R84" s="44"/>
      <c r="S84" s="44"/>
      <c r="T84" s="44"/>
      <c r="U84" s="44"/>
      <c r="V84" s="44"/>
    </row>
    <row r="85">
      <c r="D85" s="95" t="s">
        <v>110</v>
      </c>
      <c r="E85" s="95" t="s">
        <v>111</v>
      </c>
      <c r="F85" s="95" t="s">
        <v>112</v>
      </c>
      <c r="G85" s="95" t="s">
        <v>113</v>
      </c>
      <c r="H85" s="130"/>
      <c r="Q85" s="131"/>
      <c r="R85" s="131"/>
    </row>
    <row r="86">
      <c r="D86" s="51" t="s">
        <v>132</v>
      </c>
      <c r="E86" s="52" t="s">
        <v>133</v>
      </c>
      <c r="F86" s="53">
        <f>IFERROR(__xludf.DUMMYFUNCTION("MIN(IMPORTRANGE(""https://docs.google.com/spreadsheets/d/1xS-A3EoCwaJtKshFtzd2p1opjzPcHDEZ-vucHO9337U/edit"",""Tracking PT CJ  Jombang!F3:F10""))"),47904.0)</f>
        <v>47904</v>
      </c>
      <c r="G86" s="54">
        <f>IFERROR(__xludf.DUMMYFUNCTION("MIN(IMPORTRANGE(""https://docs.google.com/spreadsheets/d/1xS-A3EoCwaJtKshFtzd2p1opjzPcHDEZ-vucHO9337U/edit"",""Tracking PT CJ  Jombang!H3:H10""))"),0.0)</f>
        <v>0</v>
      </c>
      <c r="H86" s="55">
        <f>SUM('Tracking PT CJ  Jombang'!H3:H18)</f>
        <v>211002400</v>
      </c>
      <c r="M86" s="62" t="s">
        <v>134</v>
      </c>
      <c r="N86" s="63"/>
      <c r="O86" s="63"/>
      <c r="P86" s="63"/>
      <c r="Q86" s="64"/>
      <c r="R86" s="65" t="s">
        <v>117</v>
      </c>
      <c r="S86" s="63"/>
      <c r="T86" s="63"/>
      <c r="U86" s="64"/>
      <c r="V86" s="65" t="s">
        <v>118</v>
      </c>
      <c r="W86" s="63"/>
      <c r="X86" s="63"/>
      <c r="Y86" s="64"/>
    </row>
    <row r="87">
      <c r="D87" s="94"/>
      <c r="E87" s="95" t="s">
        <v>130</v>
      </c>
      <c r="F87" s="96">
        <f>IFERROR(__xludf.DUMMYFUNCTION("MIN(IMPORTRANGE(""https://docs.google.com/spreadsheets/d/1xS-A3EoCwaJtKshFtzd2p1opjzPcHDEZ-vucHO9337U/edit"",""Tracking PT CJ  Jombang!F11:F18""))"),7124.0)</f>
        <v>7124</v>
      </c>
      <c r="G87" s="97">
        <f>IFERROR(__xludf.DUMMYFUNCTION("MIN(IMPORTRANGE(""https://docs.google.com/spreadsheets/d/1xS-A3EoCwaJtKshFtzd2p1opjzPcHDEZ-vucHO9337U/edit"",""Tracking PT CJ  Jombang!H11:H18""))"),0.0)</f>
        <v>0</v>
      </c>
      <c r="H87" s="132">
        <f>SUM('Tracking PT CJ  Jombang'!H11:H37)</f>
        <v>211002400</v>
      </c>
      <c r="M87" s="66"/>
      <c r="Q87" s="67"/>
      <c r="R87" s="66"/>
      <c r="U87" s="67"/>
      <c r="V87" s="66"/>
      <c r="Y87" s="67"/>
    </row>
    <row r="88">
      <c r="D88" s="100"/>
      <c r="E88" s="52" t="s">
        <v>61</v>
      </c>
      <c r="F88" s="53">
        <f>IFERROR(__xludf.DUMMYFUNCTION("MIN(IMPORTRANGE(""https://docs.google.com/spreadsheets/d/1xS-A3EoCwaJtKshFtzd2p1opjzPcHDEZ-vucHO9337U/edit"",""Tracking PT CJ  Jombang!F41:F48""))"),100000.0)</f>
        <v>100000</v>
      </c>
      <c r="G88" s="54">
        <f>IFERROR(__xludf.DUMMYFUNCTION("MIN(IMPORTRANGE(""https://docs.google.com/spreadsheets/d/1xS-A3EoCwaJtKshFtzd2p1opjzPcHDEZ-vucHO9337U/edit"",""Tracking PT CJ  Jombang!H41:H48""))"),0.0)</f>
        <v>0</v>
      </c>
      <c r="H88" s="44"/>
      <c r="M88" s="68"/>
      <c r="Q88" s="69"/>
      <c r="R88" s="68"/>
      <c r="U88" s="69"/>
      <c r="V88" s="68"/>
      <c r="Y88" s="69"/>
    </row>
    <row r="89">
      <c r="M89" s="81"/>
      <c r="N89" s="82"/>
      <c r="O89" s="82"/>
      <c r="P89" s="82"/>
      <c r="Q89" s="83"/>
      <c r="R89" s="81"/>
      <c r="S89" s="82"/>
      <c r="T89" s="82"/>
      <c r="U89" s="83"/>
      <c r="V89" s="81"/>
      <c r="W89" s="82"/>
      <c r="X89" s="82"/>
      <c r="Y89" s="83"/>
    </row>
    <row r="90">
      <c r="M90" s="133">
        <f>SUM('Tracking PT Sreeya Sewu Balaraj'!I30,'Tracking PT Sreeya Sewu'!I46,'Tracking PT Sreeya Sewu'!I57,'Tracking PT Sreeya Sewu'!I65,'Tracking PT Matahari Sakti'!I25,'Tracking PT Matahari Sakti'!I51,'Tracking CJ Serang'!I22,'Tracking CJ Jateng'!I14,'Tracking PT CJ  Jombang'!I20,'Tracking PT CJ  Jombang'!I30,'Tracking PT CJ  Jombang'!I41,'Tracking PT Cargill'!I3,'Tracking PT Haida Agriculture'!I22)+R66</f>
        <v>6577318907</v>
      </c>
      <c r="N90" s="134"/>
      <c r="O90" s="134"/>
      <c r="P90" s="134"/>
      <c r="Q90" s="135"/>
      <c r="R90" s="136">
        <v>1.3E9</v>
      </c>
      <c r="S90" s="134"/>
      <c r="T90" s="134"/>
      <c r="U90" s="135"/>
      <c r="V90" s="136">
        <v>5.2E9</v>
      </c>
      <c r="W90" s="134"/>
      <c r="X90" s="134"/>
      <c r="Y90" s="135"/>
    </row>
    <row r="91">
      <c r="D91" s="95" t="s">
        <v>110</v>
      </c>
      <c r="E91" s="95" t="s">
        <v>111</v>
      </c>
      <c r="F91" s="95" t="s">
        <v>112</v>
      </c>
      <c r="G91" s="95" t="s">
        <v>113</v>
      </c>
      <c r="H91" s="130"/>
      <c r="M91" s="66"/>
      <c r="Q91" s="67"/>
      <c r="R91" s="66"/>
      <c r="U91" s="67"/>
      <c r="V91" s="66"/>
      <c r="Y91" s="67"/>
    </row>
    <row r="92">
      <c r="D92" s="51" t="s">
        <v>135</v>
      </c>
      <c r="E92" s="52" t="s">
        <v>73</v>
      </c>
      <c r="F92" s="53">
        <f>IFERROR(__xludf.DUMMYFUNCTION("MIN(IMPORTRANGE(""https://docs.google.com/spreadsheets/d/1xS-A3EoCwaJtKshFtzd2p1opjzPcHDEZ-vucHO9337U/edit?usp=sharing"",""Tracking PT Central Proteina Prima!F3:F10""))"),23560.0)</f>
        <v>23560</v>
      </c>
      <c r="G92" s="54">
        <f>IFERROR(__xludf.DUMMYFUNCTION("MIN(IMPORTRANGE(""https://docs.google.com/spreadsheets/d/1xS-A3EoCwaJtKshFtzd2p1opjzPcHDEZ-vucHO9337U/edit?usp=sharing"",""Tracking PT Central Proteina Prima!H3:H10""))"),0.0)</f>
        <v>0</v>
      </c>
      <c r="H92" s="55">
        <f>SUM('Tracking PT Central Proteina Pr'!H3:H34)</f>
        <v>481108500</v>
      </c>
      <c r="M92" s="72"/>
      <c r="N92" s="73"/>
      <c r="O92" s="73"/>
      <c r="P92" s="73"/>
      <c r="Q92" s="74"/>
      <c r="R92" s="72"/>
      <c r="S92" s="73"/>
      <c r="T92" s="73"/>
      <c r="U92" s="74"/>
      <c r="V92" s="72"/>
      <c r="W92" s="73"/>
      <c r="X92" s="73"/>
      <c r="Y92" s="74"/>
    </row>
    <row r="93">
      <c r="D93" s="94"/>
      <c r="E93" s="95" t="s">
        <v>75</v>
      </c>
      <c r="F93" s="96">
        <f>IFERROR(__xludf.DUMMYFUNCTION("MIN(IMPORTRANGE(""https://docs.google.com/spreadsheets/d/1xS-A3EoCwaJtKshFtzd2p1opjzPcHDEZ-vucHO9337U/edit?usp=sharing"",""Tracking PT Central Proteina Prima!F11:F18""))"),13840.0)</f>
        <v>13840</v>
      </c>
      <c r="G93" s="97">
        <f>IFERROR(__xludf.DUMMYFUNCTION("MIN(IMPORTRANGE(""https://docs.google.com/spreadsheets/d/1xS-A3EoCwaJtKshFtzd2p1opjzPcHDEZ-vucHO9337U/edit?usp=sharing"",""Tracking PT Central Proteina Prima!H11:H18""))"),0.0)</f>
        <v>0</v>
      </c>
      <c r="H93" s="137"/>
      <c r="M93" s="44"/>
      <c r="N93" s="44"/>
      <c r="O93" s="44"/>
      <c r="P93" s="44"/>
      <c r="Q93" s="44"/>
      <c r="R93" s="44"/>
      <c r="S93" s="44"/>
      <c r="T93" s="44"/>
      <c r="U93" s="44"/>
      <c r="V93" s="44"/>
      <c r="W93" s="44"/>
    </row>
    <row r="94">
      <c r="D94" s="61"/>
      <c r="E94" s="52" t="s">
        <v>73</v>
      </c>
      <c r="F94" s="53">
        <f>IFERROR(__xludf.DUMMYFUNCTION("MIN(IMPORTRANGE(""https://docs.google.com/spreadsheets/d/1xS-A3EoCwaJtKshFtzd2p1opjzPcHDEZ-vucHO9337U/edit?usp=sharing"",""Tracking PT Central Proteina Prima!F19:F26""))"),-3970.0)</f>
        <v>-3970</v>
      </c>
      <c r="G94" s="54">
        <f>IFERROR(__xludf.DUMMYFUNCTION("MIN(IMPORTRANGE(""https://docs.google.com/spreadsheets/d/1xS-A3EoCwaJtKshFtzd2p1opjzPcHDEZ-vucHO9337U/edit?usp=sharing"",""Tracking PT Central Proteina Prima!H19:H26""))"),0.0)</f>
        <v>0</v>
      </c>
      <c r="H94" s="44"/>
      <c r="M94" s="84" t="s">
        <v>136</v>
      </c>
      <c r="N94" s="85"/>
      <c r="O94" s="85"/>
      <c r="P94" s="85"/>
      <c r="Q94" s="86"/>
      <c r="R94" s="87" t="s">
        <v>137</v>
      </c>
      <c r="S94" s="85"/>
      <c r="T94" s="85"/>
      <c r="U94" s="86"/>
      <c r="V94" s="88" t="s">
        <v>122</v>
      </c>
      <c r="W94" s="85"/>
      <c r="X94" s="85"/>
      <c r="Y94" s="86"/>
    </row>
    <row r="95">
      <c r="D95" s="138"/>
      <c r="E95" s="95" t="s">
        <v>61</v>
      </c>
      <c r="F95" s="96">
        <f>IFERROR(__xludf.DUMMYFUNCTION("MIN(IMPORTRANGE(""https://docs.google.com/spreadsheets/d/1xS-A3EoCwaJtKshFtzd2p1opjzPcHDEZ-vucHO9337U/edit?usp=sharing"",""Tracking PT Central Proteina Prima!F27:F34""))"),-1920.0)</f>
        <v>-1920</v>
      </c>
      <c r="G95" s="97">
        <f>IFERROR(__xludf.DUMMYFUNCTION("MIN(IMPORTRANGE(""https://docs.google.com/spreadsheets/d/1xS-A3EoCwaJtKshFtzd2p1opjzPcHDEZ-vucHO9337U/edit?usp=sharing"",""Tracking PT Central Proteina Prima!H27:H34""))"),0.0)</f>
        <v>0</v>
      </c>
      <c r="H95" s="137"/>
      <c r="M95" s="66"/>
      <c r="Q95" s="67"/>
      <c r="R95" s="66"/>
      <c r="U95" s="67"/>
      <c r="V95" s="66"/>
      <c r="Y95" s="67"/>
    </row>
    <row r="96">
      <c r="M96" s="91"/>
      <c r="N96" s="92"/>
      <c r="O96" s="92"/>
      <c r="P96" s="92"/>
      <c r="Q96" s="93"/>
      <c r="R96" s="91"/>
      <c r="S96" s="92"/>
      <c r="T96" s="92"/>
      <c r="U96" s="93"/>
      <c r="V96" s="91"/>
      <c r="W96" s="92"/>
      <c r="X96" s="92"/>
      <c r="Y96" s="93"/>
    </row>
    <row r="97">
      <c r="M97" s="98">
        <f>SUM('Tracking PT Matahari Sakti'!H6:H12,'Tracking PT Haida Agriculture'!H23:H24,'Tracking CJ Serang'!H7:H8,'Sari Rosa'!H15,'Tracking PT Sreeya Sewu Balaraj'!H12:H17)</f>
        <v>464793214</v>
      </c>
      <c r="N97" s="77"/>
      <c r="O97" s="77"/>
      <c r="P97" s="77"/>
      <c r="Q97" s="78"/>
      <c r="R97" s="98">
        <f>SUM(M90-M97)</f>
        <v>6112525693</v>
      </c>
      <c r="S97" s="77"/>
      <c r="T97" s="77"/>
      <c r="U97" s="78"/>
      <c r="V97" s="99">
        <f>((M97-1300000000)/130000000*100%)/7</f>
        <v>-0.9178096549</v>
      </c>
      <c r="W97" s="77"/>
      <c r="X97" s="77"/>
      <c r="Y97" s="78"/>
    </row>
    <row r="98">
      <c r="D98" s="116" t="s">
        <v>110</v>
      </c>
      <c r="E98" s="116" t="s">
        <v>111</v>
      </c>
      <c r="F98" s="116" t="s">
        <v>112</v>
      </c>
      <c r="G98" s="116" t="s">
        <v>113</v>
      </c>
      <c r="H98" s="139"/>
      <c r="M98" s="101"/>
      <c r="Q98" s="102"/>
      <c r="R98" s="101"/>
      <c r="U98" s="102"/>
      <c r="V98" s="101"/>
      <c r="Y98" s="102"/>
    </row>
    <row r="99">
      <c r="D99" s="119" t="s">
        <v>138</v>
      </c>
      <c r="E99" s="116" t="s">
        <v>133</v>
      </c>
      <c r="F99" s="120" t="str">
        <f>IFERROR(__xludf.DUMMYFUNCTION("MIN(IMPORTRANGE(""https://docs.google.com/spreadsheets/d/1xS-A3EoCwaJtKshFtzd2p1opjzPcHDEZ-vucHO9337U/edit?usp=sharing"",""Tracking PT Charoen Pokphand!F3:F10""))"),"#REF!")</f>
        <v>#REF!</v>
      </c>
      <c r="G99" s="120" t="str">
        <f>IFERROR(__xludf.DUMMYFUNCTION("MIN(IMPORTRANGE(""https://docs.google.com/spreadsheets/d/1xS-A3EoCwaJtKshFtzd2p1opjzPcHDEZ-vucHO9337U/edit?usp=sharing"",""Tracking PT Charoen Pokphand!H3:H10""))"),"#REF!")</f>
        <v>#REF!</v>
      </c>
      <c r="H99" s="140"/>
      <c r="M99" s="66"/>
      <c r="Q99" s="67"/>
      <c r="R99" s="66"/>
      <c r="U99" s="67"/>
      <c r="V99" s="66"/>
      <c r="Y99" s="67"/>
    </row>
    <row r="100">
      <c r="M100" s="101"/>
      <c r="Q100" s="102"/>
      <c r="R100" s="101"/>
      <c r="U100" s="102"/>
      <c r="V100" s="101"/>
      <c r="Y100" s="102"/>
    </row>
    <row r="101">
      <c r="M101" s="81"/>
      <c r="N101" s="82"/>
      <c r="O101" s="82"/>
      <c r="P101" s="82"/>
      <c r="Q101" s="83"/>
      <c r="R101" s="81"/>
      <c r="S101" s="82"/>
      <c r="T101" s="82"/>
      <c r="U101" s="83"/>
      <c r="V101" s="81"/>
      <c r="W101" s="82"/>
      <c r="X101" s="82"/>
      <c r="Y101" s="83"/>
    </row>
    <row r="102">
      <c r="D102" s="95" t="s">
        <v>110</v>
      </c>
      <c r="E102" s="95" t="s">
        <v>111</v>
      </c>
      <c r="F102" s="95" t="s">
        <v>112</v>
      </c>
      <c r="G102" s="95" t="s">
        <v>113</v>
      </c>
      <c r="H102" s="130"/>
      <c r="M102" s="44"/>
      <c r="N102" s="44"/>
      <c r="O102" s="44"/>
      <c r="P102" s="44"/>
      <c r="Q102" s="44"/>
      <c r="R102" s="44"/>
      <c r="S102" s="44"/>
      <c r="T102" s="44"/>
      <c r="U102" s="44"/>
      <c r="V102" s="44"/>
      <c r="W102" s="44"/>
    </row>
    <row r="103">
      <c r="D103" s="51" t="s">
        <v>139</v>
      </c>
      <c r="E103" s="52" t="s">
        <v>50</v>
      </c>
      <c r="F103" s="53">
        <f>IFERROR(__xludf.DUMMYFUNCTION("MIN(IMPORTRANGE(""https://docs.google.com/spreadsheets/d/1xS-A3EoCwaJtKshFtzd2p1opjzPcHDEZ-vucHO9337U/edit?usp=sharing"",""Tracking PT Haida Agriculture!F3:F10""))"),7303.0)</f>
        <v>7303</v>
      </c>
      <c r="G103" s="54">
        <f>IFERROR(__xludf.DUMMYFUNCTION("MIN(IMPORTRANGE(""https://docs.google.com/spreadsheets/d/1xS-A3EoCwaJtKshFtzd2p1opjzPcHDEZ-vucHO9337U/edit?usp=sharing"",""Tracking PT Haida Agriculture!H3:H10""))"),0.0)</f>
        <v>0</v>
      </c>
      <c r="H103" s="55">
        <f>SUM('Tracking PT Haida Agriculture'!H3:H18)</f>
        <v>286464900</v>
      </c>
      <c r="M103" s="44"/>
      <c r="N103" s="44"/>
      <c r="O103" s="44"/>
      <c r="P103" s="44"/>
      <c r="Q103" s="110" t="s">
        <v>128</v>
      </c>
      <c r="R103" s="111"/>
      <c r="S103" s="111"/>
      <c r="T103" s="111"/>
      <c r="U103" s="111"/>
      <c r="V103" s="112"/>
      <c r="W103" s="44"/>
    </row>
    <row r="104">
      <c r="D104" s="94"/>
      <c r="E104" s="95" t="s">
        <v>46</v>
      </c>
      <c r="F104" s="96">
        <f>IFERROR(__xludf.DUMMYFUNCTION("MIN(IMPORTRANGE(""https://docs.google.com/spreadsheets/d/1xS-A3EoCwaJtKshFtzd2p1opjzPcHDEZ-vucHO9337U/edit?usp=sharing"",""Tracking PT Haida Agriculture!F11:F18""))"),30172.0)</f>
        <v>30172</v>
      </c>
      <c r="G104" s="97">
        <f>IFERROR(__xludf.DUMMYFUNCTION("MIN(IMPORTRANGE(""https://docs.google.com/spreadsheets/d/1xS-A3EoCwaJtKshFtzd2p1opjzPcHDEZ-vucHO9337U/edit?usp=sharing"",""Tracking PT Haida Agriculture!H11:H18""))"),0.0)</f>
        <v>0</v>
      </c>
      <c r="H104" s="137"/>
      <c r="M104" s="44"/>
      <c r="N104" s="44"/>
      <c r="O104" s="44"/>
      <c r="P104" s="44"/>
      <c r="Q104" s="113"/>
      <c r="V104" s="114"/>
      <c r="W104" s="44"/>
    </row>
    <row r="105">
      <c r="D105" s="100"/>
      <c r="E105" s="52" t="s">
        <v>46</v>
      </c>
      <c r="F105" s="53">
        <f>IFERROR(__xludf.DUMMYFUNCTION("MIN(IMPORTRANGE(""https://docs.google.com/spreadsheets/d/1xS-A3EoCwaJtKshFtzd2p1opjzPcHDEZ-vucHO9337U/edit?usp=sharing"",""Tracking PT Haida Agriculture!F11:F18""))"),30172.0)</f>
        <v>30172</v>
      </c>
      <c r="G105" s="54">
        <f>IFERROR(__xludf.DUMMYFUNCTION("MIN(IMPORTRANGE(""https://docs.google.com/spreadsheets/d/1xS-A3EoCwaJtKshFtzd2p1opjzPcHDEZ-vucHO9337U/edit?usp=sharing"",""Tracking PT Haida Agriculture!H11:H18""))"),0.0)</f>
        <v>0</v>
      </c>
      <c r="H105" s="44"/>
      <c r="M105" s="44"/>
      <c r="N105" s="44"/>
      <c r="O105" s="44"/>
      <c r="P105" s="44"/>
      <c r="Q105" s="113"/>
      <c r="V105" s="114"/>
      <c r="W105" s="44"/>
    </row>
    <row r="106">
      <c r="M106" s="44"/>
      <c r="N106" s="44"/>
      <c r="O106" s="44"/>
      <c r="P106" s="44"/>
      <c r="Q106" s="115"/>
      <c r="R106" s="10"/>
      <c r="S106" s="10"/>
      <c r="T106" s="10"/>
      <c r="U106" s="10"/>
      <c r="V106" s="11"/>
      <c r="W106" s="44"/>
    </row>
    <row r="107">
      <c r="M107" s="44"/>
      <c r="N107" s="44"/>
      <c r="O107" s="44"/>
      <c r="P107" s="44"/>
      <c r="Q107" s="118">
        <f>SUM((M90-5200000000)/5200000000*100%)</f>
        <v>0.2648690206</v>
      </c>
      <c r="R107" s="111"/>
      <c r="S107" s="111"/>
      <c r="T107" s="111"/>
      <c r="U107" s="111"/>
      <c r="V107" s="112"/>
      <c r="W107" s="44"/>
    </row>
    <row r="108">
      <c r="D108" s="116" t="s">
        <v>110</v>
      </c>
      <c r="E108" s="116" t="s">
        <v>111</v>
      </c>
      <c r="F108" s="116" t="s">
        <v>112</v>
      </c>
      <c r="G108" s="116" t="s">
        <v>113</v>
      </c>
      <c r="H108" s="139"/>
      <c r="M108" s="44"/>
      <c r="N108" s="44"/>
      <c r="O108" s="44"/>
      <c r="P108" s="44"/>
      <c r="Q108" s="113"/>
      <c r="V108" s="114"/>
      <c r="W108" s="44"/>
    </row>
    <row r="109">
      <c r="D109" s="119" t="s">
        <v>140</v>
      </c>
      <c r="E109" s="116" t="s">
        <v>130</v>
      </c>
      <c r="F109" s="116">
        <f>IFERROR(__xludf.DUMMYFUNCTION("MIN(IMPORTRANGE(""https://docs.google.com/spreadsheets/d/1xS-A3EoCwaJtKshFtzd2p1opjzPcHDEZ-vucHO9337U/edit?usp=sharing"",""Tracking PT Matahari Sakti!F3:F10""))"),65087.580000000016)</f>
        <v>65087.58</v>
      </c>
      <c r="G109" s="126">
        <f>IFERROR(__xludf.DUMMYFUNCTION("MIN(IMPORTRANGE(""https://docs.google.com/spreadsheets/d/1xS-A3EoCwaJtKshFtzd2p1opjzPcHDEZ-vucHO9337U/edit?gid=705348471#gid=705348471"",""Tracking PT Matahari Sakti!H4:H10""))"),3.5683452E7)</f>
        <v>35683452</v>
      </c>
      <c r="H109" s="141">
        <f>SUM('Tracking PT Matahari Sakti'!H3:H18)</f>
        <v>323293068</v>
      </c>
      <c r="M109" s="44"/>
      <c r="N109" s="44"/>
      <c r="O109" s="44"/>
      <c r="P109" s="44"/>
      <c r="Q109" s="113"/>
      <c r="V109" s="114"/>
      <c r="W109" s="125"/>
    </row>
    <row r="110">
      <c r="D110" s="119" t="s">
        <v>140</v>
      </c>
      <c r="E110" s="116" t="s">
        <v>61</v>
      </c>
      <c r="F110" s="116">
        <f>IFERROR(__xludf.DUMMYFUNCTION("MIN(IMPORTRANGE(""https://docs.google.com/spreadsheets/d/1xS-A3EoCwaJtKshFtzd2p1opjzPcHDEZ-vucHO9337U/edit?usp=sharing"",""Tracking PT Matahari Sakti!F25:F44""))"),100000.0)</f>
        <v>100000</v>
      </c>
      <c r="G110" s="126">
        <f>IFERROR(__xludf.DUMMYFUNCTION("MIN(IMPORTRANGE(""https://docs.google.com/spreadsheets/d/1xS-A3EoCwaJtKshFtzd2p1opjzPcHDEZ-vucHO9337U/edit?gid=705348471#gid=705348471"",""Tracking PT Matahari Sakti!H25:H44""))"),0.0)</f>
        <v>0</v>
      </c>
      <c r="H110" s="141">
        <f>SUM('Tracking PT Matahari Sakti'!H25:H44)</f>
        <v>0</v>
      </c>
      <c r="M110" s="44"/>
      <c r="N110" s="44"/>
      <c r="O110" s="44"/>
      <c r="P110" s="44"/>
      <c r="Q110" s="115"/>
      <c r="R110" s="10"/>
      <c r="S110" s="10"/>
      <c r="T110" s="10"/>
      <c r="U110" s="10"/>
      <c r="V110" s="11"/>
    </row>
    <row r="111">
      <c r="D111" s="119" t="s">
        <v>140</v>
      </c>
      <c r="E111" s="116" t="s">
        <v>130</v>
      </c>
      <c r="F111" s="116">
        <f>IFERROR(__xludf.DUMMYFUNCTION("MIN(IMPORTRANGE(""https://docs.google.com/spreadsheets/d/1xS-A3EoCwaJtKshFtzd2p1opjzPcHDEZ-vucHO9337U/edit?usp=sharing"",""Tracking PT Matahari Sakti!F51:F70""))"),243500.0)</f>
        <v>243500</v>
      </c>
      <c r="G111" s="126">
        <f>IFERROR(__xludf.DUMMYFUNCTION("MIN(IMPORTRANGE(""https://docs.google.com/spreadsheets/d/1xS-A3EoCwaJtKshFtzd2p1opjzPcHDEZ-vucHO9337U/edit?gid=705348471#gid=705348471"",""Tracking PT Matahari Sakti!H51:H70""))"),0.0)</f>
        <v>0</v>
      </c>
      <c r="H111" s="141">
        <f>SUM('Tracking PT Matahari Sakti'!H51:H70)</f>
        <v>0</v>
      </c>
      <c r="Q111" s="131"/>
      <c r="R111" s="131"/>
    </row>
    <row r="112">
      <c r="Q112" s="131"/>
      <c r="R112" s="131"/>
    </row>
    <row r="113">
      <c r="Q113" s="131"/>
      <c r="R113" s="131"/>
    </row>
    <row r="114">
      <c r="D114" s="116" t="s">
        <v>110</v>
      </c>
      <c r="E114" s="116" t="s">
        <v>111</v>
      </c>
      <c r="F114" s="116" t="s">
        <v>112</v>
      </c>
      <c r="G114" s="116" t="s">
        <v>113</v>
      </c>
      <c r="H114" s="139"/>
      <c r="M114" s="62" t="s">
        <v>134</v>
      </c>
      <c r="N114" s="63"/>
      <c r="O114" s="63"/>
      <c r="P114" s="63"/>
      <c r="Q114" s="64"/>
      <c r="R114" s="65" t="s">
        <v>117</v>
      </c>
      <c r="S114" s="63"/>
      <c r="T114" s="63"/>
      <c r="U114" s="64"/>
      <c r="V114" s="65" t="s">
        <v>118</v>
      </c>
      <c r="W114" s="63"/>
      <c r="X114" s="63"/>
      <c r="Y114" s="64"/>
    </row>
    <row r="115">
      <c r="D115" s="119" t="s">
        <v>141</v>
      </c>
      <c r="E115" s="116" t="s">
        <v>142</v>
      </c>
      <c r="F115" s="116">
        <f>IFERROR(__xludf.DUMMYFUNCTION("MIN(IMPORTRANGE(""https://docs.google.com/spreadsheets/d/1xS-A3EoCwaJtKshFtzd2p1opjzPcHDEZ-vucHO9337U/edit"",""Tracking PT Cargill!F3:F10""))"),100000.0)</f>
        <v>100000</v>
      </c>
      <c r="G115" s="126">
        <f>IFERROR(__xludf.DUMMYFUNCTION("MIN(IMPORTRANGE(""https://docs.google.com/spreadsheets/d/1xS-A3EoCwaJtKshFtzd2p1opjzPcHDEZ-vucHO9337U/edit"",""Tracking PT Cargill!I3:I10""))"),4.5E8)</f>
        <v>450000000</v>
      </c>
      <c r="H115" s="139">
        <f>SUM('Tracking PT Cargill'!H9:H24)</f>
        <v>0</v>
      </c>
      <c r="M115" s="66"/>
      <c r="Q115" s="67"/>
      <c r="R115" s="66"/>
      <c r="U115" s="67"/>
      <c r="V115" s="66"/>
      <c r="Y115" s="67"/>
    </row>
    <row r="116">
      <c r="M116" s="68"/>
      <c r="Q116" s="69"/>
      <c r="R116" s="68"/>
      <c r="U116" s="69"/>
      <c r="V116" s="68"/>
      <c r="Y116" s="69"/>
    </row>
    <row r="117">
      <c r="D117" s="116" t="s">
        <v>110</v>
      </c>
      <c r="E117" s="116" t="s">
        <v>111</v>
      </c>
      <c r="F117" s="116" t="s">
        <v>112</v>
      </c>
      <c r="G117" s="116" t="s">
        <v>113</v>
      </c>
      <c r="H117" s="139"/>
      <c r="M117" s="81"/>
      <c r="N117" s="82"/>
      <c r="O117" s="82"/>
      <c r="P117" s="82"/>
      <c r="Q117" s="83"/>
      <c r="R117" s="81"/>
      <c r="S117" s="82"/>
      <c r="T117" s="82"/>
      <c r="U117" s="83"/>
      <c r="V117" s="81"/>
      <c r="W117" s="82"/>
      <c r="X117" s="82"/>
      <c r="Y117" s="83"/>
    </row>
    <row r="118">
      <c r="D118" s="119" t="s">
        <v>143</v>
      </c>
      <c r="E118" s="116" t="s">
        <v>144</v>
      </c>
      <c r="F118" s="116">
        <f>IFERROR(__xludf.DUMMYFUNCTION("MIN(IMPORTRANGE(""https://docs.google.com/spreadsheets/d/1xS-A3EoCwaJtKshFtzd2p1opjzPcHDEZ-vucHO9337U/edit"",""Sari Rosa!F14:F21""))"),0.0)</f>
        <v>0</v>
      </c>
      <c r="G118" s="126">
        <f>IFERROR(__xludf.DUMMYFUNCTION("MIN(IMPORTRANGE(""https://docs.google.com/spreadsheets/d/1xS-A3EoCwaJtKshFtzd2p1opjzPcHDEZ-vucHO9337U/edit"",""Sari Rosa!I14:I21""))"),0.0)</f>
        <v>0</v>
      </c>
      <c r="H118" s="141">
        <f>SUM('Sari Rosa'!H14:H15)</f>
        <v>40435800</v>
      </c>
      <c r="M118" s="133" t="str">
        <f>SUM('Tracking PT Sreeya Sewu Balaraj'!I58,'Tracking PT Sreeya Sewu'!I74,'Tracking PT Sreeya Sewu'!I85,'Tracking PT Sreeya Sewu'!I93,'Tracking PT Matahari Sakti'!I53,'Tracking PT Matahari Sakti'!I79,'Tracking CJ Serang'!I50,'Tracking CJ Jateng'!I42,'Tracking PT CJ  Jombang'!I48,'Tracking PT CJ  Jombang'!I58,'Tracking PT CJ  Jombang'!I69,'Tracking PT Cargill'!I31,'Tracking PT Haida Agriculture'!I50)+R94</f>
        <v>#VALUE!</v>
      </c>
      <c r="N118" s="134"/>
      <c r="O118" s="134"/>
      <c r="P118" s="134"/>
      <c r="Q118" s="135"/>
      <c r="R118" s="136">
        <v>1.3E9</v>
      </c>
      <c r="S118" s="134"/>
      <c r="T118" s="134"/>
      <c r="U118" s="135"/>
      <c r="V118" s="136">
        <v>5.2E9</v>
      </c>
      <c r="W118" s="134"/>
      <c r="X118" s="134"/>
      <c r="Y118" s="135"/>
    </row>
    <row r="119">
      <c r="M119" s="66"/>
      <c r="Q119" s="67"/>
      <c r="R119" s="66"/>
      <c r="U119" s="67"/>
      <c r="V119" s="66"/>
      <c r="Y119" s="67"/>
    </row>
    <row r="120">
      <c r="M120" s="72"/>
      <c r="N120" s="73"/>
      <c r="O120" s="73"/>
      <c r="P120" s="73"/>
      <c r="Q120" s="74"/>
      <c r="R120" s="72"/>
      <c r="S120" s="73"/>
      <c r="T120" s="73"/>
      <c r="U120" s="74"/>
      <c r="V120" s="72"/>
      <c r="W120" s="73"/>
      <c r="X120" s="73"/>
      <c r="Y120" s="74"/>
    </row>
    <row r="121">
      <c r="M121" s="44"/>
      <c r="N121" s="44"/>
      <c r="O121" s="44"/>
      <c r="P121" s="44"/>
      <c r="Q121" s="44"/>
      <c r="R121" s="44"/>
      <c r="S121" s="44"/>
      <c r="T121" s="44"/>
      <c r="U121" s="44"/>
      <c r="V121" s="44"/>
      <c r="W121" s="44"/>
    </row>
    <row r="122">
      <c r="M122" s="84" t="s">
        <v>136</v>
      </c>
      <c r="N122" s="85"/>
      <c r="O122" s="85"/>
      <c r="P122" s="85"/>
      <c r="Q122" s="86"/>
      <c r="R122" s="87" t="s">
        <v>137</v>
      </c>
      <c r="S122" s="85"/>
      <c r="T122" s="85"/>
      <c r="U122" s="86"/>
      <c r="V122" s="88" t="s">
        <v>122</v>
      </c>
      <c r="W122" s="85"/>
      <c r="X122" s="85"/>
      <c r="Y122" s="86"/>
    </row>
    <row r="123">
      <c r="M123" s="66"/>
      <c r="Q123" s="67"/>
      <c r="R123" s="66"/>
      <c r="U123" s="67"/>
      <c r="V123" s="66"/>
      <c r="Y123" s="67"/>
    </row>
    <row r="124">
      <c r="M124" s="91"/>
      <c r="N124" s="92"/>
      <c r="O124" s="92"/>
      <c r="P124" s="92"/>
      <c r="Q124" s="93"/>
      <c r="R124" s="91"/>
      <c r="S124" s="92"/>
      <c r="T124" s="92"/>
      <c r="U124" s="93"/>
      <c r="V124" s="91"/>
      <c r="W124" s="92"/>
      <c r="X124" s="92"/>
      <c r="Y124" s="93"/>
    </row>
    <row r="125">
      <c r="M125" s="98">
        <f>SUM('Tracking PT Matahari Sakti'!H34:H40,'Tracking PT Haida Agriculture'!H51:H52,'Tracking CJ Serang'!H35:H36,'Sari Rosa'!H43,'Tracking PT Sreeya Sewu Balaraj'!H40:H45)</f>
        <v>0</v>
      </c>
      <c r="N125" s="77"/>
      <c r="O125" s="77"/>
      <c r="P125" s="77"/>
      <c r="Q125" s="78"/>
      <c r="R125" s="142" t="str">
        <f>SUM(M118-M125)</f>
        <v>#VALUE!</v>
      </c>
      <c r="S125" s="77"/>
      <c r="T125" s="77"/>
      <c r="U125" s="78"/>
      <c r="V125" s="99">
        <f>((M125-1300000000)/130000000*100%)/7</f>
        <v>-1.428571429</v>
      </c>
      <c r="W125" s="77"/>
      <c r="X125" s="77"/>
      <c r="Y125" s="78"/>
    </row>
    <row r="126">
      <c r="M126" s="101"/>
      <c r="Q126" s="102"/>
      <c r="R126" s="101"/>
      <c r="U126" s="102"/>
      <c r="V126" s="101"/>
      <c r="Y126" s="102"/>
    </row>
    <row r="127">
      <c r="M127" s="66"/>
      <c r="Q127" s="67"/>
      <c r="R127" s="66"/>
      <c r="U127" s="67"/>
      <c r="V127" s="66"/>
      <c r="Y127" s="67"/>
    </row>
    <row r="128">
      <c r="M128" s="101"/>
      <c r="Q128" s="102"/>
      <c r="R128" s="101"/>
      <c r="U128" s="102"/>
      <c r="V128" s="101"/>
      <c r="Y128" s="102"/>
    </row>
    <row r="129">
      <c r="M129" s="81"/>
      <c r="N129" s="82"/>
      <c r="O129" s="82"/>
      <c r="P129" s="82"/>
      <c r="Q129" s="83"/>
      <c r="R129" s="81"/>
      <c r="S129" s="82"/>
      <c r="T129" s="82"/>
      <c r="U129" s="83"/>
      <c r="V129" s="81"/>
      <c r="W129" s="82"/>
      <c r="X129" s="82"/>
      <c r="Y129" s="83"/>
    </row>
    <row r="130">
      <c r="M130" s="44"/>
      <c r="N130" s="44"/>
      <c r="O130" s="44"/>
      <c r="P130" s="44"/>
      <c r="Q130" s="44"/>
      <c r="R130" s="44"/>
      <c r="S130" s="44"/>
      <c r="T130" s="44"/>
      <c r="U130" s="44"/>
      <c r="V130" s="44"/>
      <c r="W130" s="44"/>
    </row>
    <row r="131">
      <c r="M131" s="44"/>
      <c r="N131" s="44"/>
      <c r="O131" s="44"/>
      <c r="P131" s="44"/>
      <c r="Q131" s="110" t="s">
        <v>128</v>
      </c>
      <c r="R131" s="111"/>
      <c r="S131" s="111"/>
      <c r="T131" s="111"/>
      <c r="U131" s="111"/>
      <c r="V131" s="112"/>
      <c r="W131" s="44"/>
    </row>
    <row r="132">
      <c r="M132" s="44"/>
      <c r="N132" s="44"/>
      <c r="O132" s="44"/>
      <c r="P132" s="44"/>
      <c r="Q132" s="113"/>
      <c r="V132" s="114"/>
      <c r="W132" s="44"/>
    </row>
    <row r="133">
      <c r="M133" s="44"/>
      <c r="N133" s="44"/>
      <c r="O133" s="44"/>
      <c r="P133" s="44"/>
      <c r="Q133" s="113"/>
      <c r="V133" s="114"/>
      <c r="W133" s="44"/>
    </row>
    <row r="134">
      <c r="M134" s="44"/>
      <c r="N134" s="44"/>
      <c r="O134" s="44"/>
      <c r="P134" s="44"/>
      <c r="Q134" s="115"/>
      <c r="R134" s="10"/>
      <c r="S134" s="10"/>
      <c r="T134" s="10"/>
      <c r="U134" s="10"/>
      <c r="V134" s="11"/>
      <c r="W134" s="44"/>
    </row>
    <row r="135">
      <c r="M135" s="44"/>
      <c r="N135" s="44"/>
      <c r="O135" s="44"/>
      <c r="P135" s="44"/>
      <c r="Q135" s="118" t="str">
        <f>SUM((M118-5200000000)/5200000000*100%)</f>
        <v>#VALUE!</v>
      </c>
      <c r="R135" s="111"/>
      <c r="S135" s="111"/>
      <c r="T135" s="111"/>
      <c r="U135" s="111"/>
      <c r="V135" s="112"/>
      <c r="W135" s="44"/>
    </row>
    <row r="136">
      <c r="M136" s="44"/>
      <c r="N136" s="44"/>
      <c r="O136" s="44"/>
      <c r="P136" s="44"/>
      <c r="Q136" s="113"/>
      <c r="V136" s="114"/>
      <c r="W136" s="44"/>
    </row>
    <row r="137">
      <c r="M137" s="44"/>
      <c r="N137" s="44"/>
      <c r="O137" s="44"/>
      <c r="P137" s="44"/>
      <c r="Q137" s="113"/>
      <c r="V137" s="114"/>
      <c r="W137" s="125"/>
    </row>
    <row r="138">
      <c r="M138" s="44"/>
      <c r="N138" s="44"/>
      <c r="O138" s="44"/>
      <c r="P138" s="44"/>
      <c r="Q138" s="115"/>
      <c r="R138" s="10"/>
      <c r="S138" s="10"/>
      <c r="T138" s="10"/>
      <c r="U138" s="10"/>
      <c r="V138" s="11"/>
    </row>
  </sheetData>
  <mergeCells count="102">
    <mergeCell ref="BQ2:BS2"/>
    <mergeCell ref="BT2:BV2"/>
    <mergeCell ref="AV2:AX2"/>
    <mergeCell ref="AY2:BA2"/>
    <mergeCell ref="BB2:BD2"/>
    <mergeCell ref="BE2:BG2"/>
    <mergeCell ref="BH2:BJ2"/>
    <mergeCell ref="BK2:BM2"/>
    <mergeCell ref="BN2:BP2"/>
    <mergeCell ref="AG1:AI1"/>
    <mergeCell ref="AJ1:AL1"/>
    <mergeCell ref="AM1:AO1"/>
    <mergeCell ref="AP1:AU1"/>
    <mergeCell ref="AV1:BA1"/>
    <mergeCell ref="BB1:BD1"/>
    <mergeCell ref="BE1:BG1"/>
    <mergeCell ref="CF1:CH1"/>
    <mergeCell ref="CI1:CK1"/>
    <mergeCell ref="CL1:CN1"/>
    <mergeCell ref="C2:E2"/>
    <mergeCell ref="F2:H2"/>
    <mergeCell ref="I2:K2"/>
    <mergeCell ref="L2:N2"/>
    <mergeCell ref="O2:Q2"/>
    <mergeCell ref="R2:T2"/>
    <mergeCell ref="U2:W2"/>
    <mergeCell ref="X2:Z2"/>
    <mergeCell ref="AG2:AI2"/>
    <mergeCell ref="AJ2:AL2"/>
    <mergeCell ref="AM2:AO2"/>
    <mergeCell ref="AP2:AR2"/>
    <mergeCell ref="AS2:AU2"/>
    <mergeCell ref="BW2:BY2"/>
    <mergeCell ref="BZ2:CB2"/>
    <mergeCell ref="CC2:CE2"/>
    <mergeCell ref="CF2:CH2"/>
    <mergeCell ref="CI2:CK2"/>
    <mergeCell ref="CL2:CN2"/>
    <mergeCell ref="BH1:BJ1"/>
    <mergeCell ref="BK1:BM1"/>
    <mergeCell ref="BN1:BP1"/>
    <mergeCell ref="BQ1:BS1"/>
    <mergeCell ref="BT1:BY1"/>
    <mergeCell ref="BZ1:CB1"/>
    <mergeCell ref="CC1:CE1"/>
    <mergeCell ref="R125:U129"/>
    <mergeCell ref="V125:Y129"/>
    <mergeCell ref="Q131:V134"/>
    <mergeCell ref="Q135:V138"/>
    <mergeCell ref="M118:Q120"/>
    <mergeCell ref="R118:U120"/>
    <mergeCell ref="V118:Y120"/>
    <mergeCell ref="M122:Q124"/>
    <mergeCell ref="R122:U124"/>
    <mergeCell ref="V122:Y124"/>
    <mergeCell ref="M125:Q129"/>
    <mergeCell ref="A1:A3"/>
    <mergeCell ref="B1:B3"/>
    <mergeCell ref="C1:H1"/>
    <mergeCell ref="I1:N1"/>
    <mergeCell ref="O1:W1"/>
    <mergeCell ref="X1:AC1"/>
    <mergeCell ref="AD1:AF1"/>
    <mergeCell ref="AA2:AC2"/>
    <mergeCell ref="AD2:AF2"/>
    <mergeCell ref="D50:D57"/>
    <mergeCell ref="M52:Q58"/>
    <mergeCell ref="R52:U58"/>
    <mergeCell ref="V52:Y58"/>
    <mergeCell ref="M59:Q61"/>
    <mergeCell ref="D70:D72"/>
    <mergeCell ref="D86:D88"/>
    <mergeCell ref="D92:D95"/>
    <mergeCell ref="D103:D105"/>
    <mergeCell ref="R59:U61"/>
    <mergeCell ref="V59:Y61"/>
    <mergeCell ref="M63:Q65"/>
    <mergeCell ref="R63:U65"/>
    <mergeCell ref="V63:Y65"/>
    <mergeCell ref="D65:D67"/>
    <mergeCell ref="M66:Q70"/>
    <mergeCell ref="R66:U70"/>
    <mergeCell ref="V66:Y70"/>
    <mergeCell ref="Q72:V74"/>
    <mergeCell ref="Q75:V80"/>
    <mergeCell ref="M86:Q89"/>
    <mergeCell ref="R86:U89"/>
    <mergeCell ref="V86:Y89"/>
    <mergeCell ref="M90:Q92"/>
    <mergeCell ref="R90:U92"/>
    <mergeCell ref="V90:Y92"/>
    <mergeCell ref="M94:Q96"/>
    <mergeCell ref="R94:U96"/>
    <mergeCell ref="V94:Y96"/>
    <mergeCell ref="M97:Q101"/>
    <mergeCell ref="R97:U101"/>
    <mergeCell ref="V97:Y101"/>
    <mergeCell ref="Q103:V106"/>
    <mergeCell ref="Q107:V110"/>
    <mergeCell ref="M114:Q117"/>
    <mergeCell ref="R114:U117"/>
    <mergeCell ref="V114:Y117"/>
  </mergeCells>
  <dataValidations>
    <dataValidation type="list" allowBlank="1" showErrorMessage="1" sqref="D4:D36 G4:G36 J4:J36 M4:M36 P4:P36 S4:S36 V4:V36 Y4:Y36 AB4:AB36 AE4:AE36 AH4:AH36 AK4:AK36 AN4:AN36 AQ4:AQ36 AT4:AT36 AW4:AW36 AZ4:AZ36 BC4:BC36 BF4:BF36 BI4:BI36 BL4:BL36 BO4:BO36 BR4:BR36 BU4:BU36 BX4:BX36 CA4:CA36 CD4:CD36 CG4:CG36 CJ4:CJ36 CM4:CM36">
      <formula1>"Not used,Ready,Not Reasonable Price,Po's Closed,Not Qualified Raw,Not Updated Yet,Didn't Have Supplier,Factory No Need Yet,Confirmed,Sample Sent!,Hold,Negotiate"</formula1>
    </dataValidation>
  </dataValidations>
  <printOptions horizontalCentered="1"/>
  <pageMargins bottom="0.75" footer="0.0" header="0.0" left="0.7" right="0.7" top="0.75"/>
  <pageSetup orientation="landscape" pageOrder="overThenDown"/>
  <drawing r:id="rId1"/>
  <tableParts count="6">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6" width="15.75"/>
    <col customWidth="1" min="8" max="8" width="27.0"/>
    <col customWidth="1" min="9" max="9" width="21.88"/>
  </cols>
  <sheetData>
    <row r="1">
      <c r="A1" s="39" t="s">
        <v>145</v>
      </c>
    </row>
    <row r="2">
      <c r="A2" s="143" t="s">
        <v>146</v>
      </c>
      <c r="B2" s="144" t="s">
        <v>147</v>
      </c>
      <c r="C2" s="143" t="s">
        <v>148</v>
      </c>
      <c r="D2" s="143" t="s">
        <v>149</v>
      </c>
      <c r="E2" s="144" t="s">
        <v>150</v>
      </c>
      <c r="F2" s="145" t="s">
        <v>112</v>
      </c>
      <c r="G2" s="144" t="s">
        <v>151</v>
      </c>
      <c r="H2" s="144" t="s">
        <v>152</v>
      </c>
      <c r="I2" s="144" t="s">
        <v>153</v>
      </c>
      <c r="J2" s="144" t="s">
        <v>154</v>
      </c>
    </row>
    <row r="3">
      <c r="A3" s="119" t="s">
        <v>155</v>
      </c>
      <c r="B3" s="146">
        <v>45731.0</v>
      </c>
      <c r="C3" s="119" t="s">
        <v>65</v>
      </c>
      <c r="D3" s="119">
        <v>100000.0</v>
      </c>
      <c r="E3" s="119">
        <v>0.0</v>
      </c>
      <c r="F3" s="119">
        <f>D3-E3</f>
        <v>100000</v>
      </c>
      <c r="G3" s="147">
        <v>4375.0</v>
      </c>
      <c r="H3" s="148">
        <f t="shared" ref="H3:H25" si="1">IF(E3="","",(SUM($G$3*E3)))</f>
        <v>0</v>
      </c>
      <c r="I3" s="148">
        <f>F3*G3</f>
        <v>437500000</v>
      </c>
      <c r="J3" s="149" t="str">
        <f>IF(OR(D3="",E3=""),"",IF(F3&lt;=0,"Closed","Open"))</f>
        <v>Open</v>
      </c>
    </row>
    <row r="4">
      <c r="A4" s="119" t="s">
        <v>155</v>
      </c>
      <c r="B4" s="146">
        <v>45735.0</v>
      </c>
      <c r="C4" s="119" t="s">
        <v>65</v>
      </c>
      <c r="D4" s="119">
        <v>100000.0</v>
      </c>
      <c r="E4" s="119">
        <v>10050.0</v>
      </c>
      <c r="F4" s="150">
        <f t="shared" ref="F4:F17" si="2">IF(E4="","",(SUM(F3-E4)))</f>
        <v>89950</v>
      </c>
      <c r="G4" s="147">
        <v>4375.0</v>
      </c>
      <c r="H4" s="148">
        <f t="shared" si="1"/>
        <v>43968750</v>
      </c>
      <c r="I4" s="148">
        <f>IF(F4="","",(SUM(G3*F4)))</f>
        <v>393531250</v>
      </c>
      <c r="J4" s="149" t="str">
        <f t="shared" ref="J4:J17" si="3">IF(OR(F4="",E4=""),"",IF(F4&lt;=0,"Closed","Open"))</f>
        <v>Open</v>
      </c>
    </row>
    <row r="5">
      <c r="A5" s="119" t="s">
        <v>155</v>
      </c>
      <c r="B5" s="146">
        <v>45736.0</v>
      </c>
      <c r="C5" s="119" t="s">
        <v>65</v>
      </c>
      <c r="D5" s="119">
        <v>100000.0</v>
      </c>
      <c r="E5" s="119">
        <v>8460.0</v>
      </c>
      <c r="F5" s="150">
        <f t="shared" si="2"/>
        <v>81490</v>
      </c>
      <c r="G5" s="147">
        <v>4375.0</v>
      </c>
      <c r="H5" s="148">
        <f t="shared" si="1"/>
        <v>37012500</v>
      </c>
      <c r="I5" s="148">
        <f>IF(F5="","",(SUM(G3*F5)))</f>
        <v>356518750</v>
      </c>
      <c r="J5" s="149" t="str">
        <f t="shared" si="3"/>
        <v>Open</v>
      </c>
    </row>
    <row r="6">
      <c r="A6" s="119" t="s">
        <v>155</v>
      </c>
      <c r="B6" s="146">
        <v>45737.0</v>
      </c>
      <c r="C6" s="119" t="s">
        <v>65</v>
      </c>
      <c r="D6" s="119">
        <v>100000.0</v>
      </c>
      <c r="E6" s="119">
        <v>9980.0</v>
      </c>
      <c r="F6" s="150">
        <f t="shared" si="2"/>
        <v>71510</v>
      </c>
      <c r="G6" s="147">
        <v>4375.0</v>
      </c>
      <c r="H6" s="148">
        <f t="shared" si="1"/>
        <v>43662500</v>
      </c>
      <c r="I6" s="148">
        <f>IF(F6="","",(SUM(G3*F6)))</f>
        <v>312856250</v>
      </c>
      <c r="J6" s="149" t="str">
        <f t="shared" si="3"/>
        <v>Open</v>
      </c>
    </row>
    <row r="7">
      <c r="A7" s="119" t="s">
        <v>155</v>
      </c>
      <c r="B7" s="146">
        <v>45738.0</v>
      </c>
      <c r="C7" s="119" t="s">
        <v>65</v>
      </c>
      <c r="D7" s="119">
        <v>100000.0</v>
      </c>
      <c r="E7" s="119">
        <v>8900.0</v>
      </c>
      <c r="F7" s="150">
        <f t="shared" si="2"/>
        <v>62610</v>
      </c>
      <c r="G7" s="147">
        <v>4375.0</v>
      </c>
      <c r="H7" s="148">
        <f t="shared" si="1"/>
        <v>38937500</v>
      </c>
      <c r="I7" s="148">
        <f>IF(F7="","",(SUM(G3*F7)))</f>
        <v>273918750</v>
      </c>
      <c r="J7" s="149" t="str">
        <f t="shared" si="3"/>
        <v>Open</v>
      </c>
    </row>
    <row r="8">
      <c r="A8" s="119" t="s">
        <v>155</v>
      </c>
      <c r="B8" s="146">
        <v>45740.0</v>
      </c>
      <c r="C8" s="119" t="s">
        <v>65</v>
      </c>
      <c r="D8" s="119">
        <v>100000.0</v>
      </c>
      <c r="E8" s="119">
        <v>8950.0</v>
      </c>
      <c r="F8" s="150">
        <f t="shared" si="2"/>
        <v>53660</v>
      </c>
      <c r="G8" s="147">
        <v>4375.0</v>
      </c>
      <c r="H8" s="148">
        <f t="shared" si="1"/>
        <v>39156250</v>
      </c>
      <c r="I8" s="148">
        <f t="shared" ref="I8:I17" si="4">IF(F8="","",(SUM(G3*F8)))</f>
        <v>234762500</v>
      </c>
      <c r="J8" s="149" t="str">
        <f t="shared" si="3"/>
        <v>Open</v>
      </c>
    </row>
    <row r="9">
      <c r="A9" s="119" t="s">
        <v>155</v>
      </c>
      <c r="B9" s="146">
        <v>45740.0</v>
      </c>
      <c r="C9" s="119" t="s">
        <v>65</v>
      </c>
      <c r="D9" s="119">
        <v>100000.0</v>
      </c>
      <c r="E9" s="119">
        <v>9010.0</v>
      </c>
      <c r="F9" s="150">
        <f t="shared" si="2"/>
        <v>44650</v>
      </c>
      <c r="G9" s="147">
        <v>4375.0</v>
      </c>
      <c r="H9" s="148">
        <f t="shared" si="1"/>
        <v>39418750</v>
      </c>
      <c r="I9" s="148">
        <f t="shared" si="4"/>
        <v>195343750</v>
      </c>
      <c r="J9" s="149" t="str">
        <f t="shared" si="3"/>
        <v>Open</v>
      </c>
    </row>
    <row r="10">
      <c r="A10" s="119" t="s">
        <v>155</v>
      </c>
      <c r="B10" s="146">
        <v>45740.0</v>
      </c>
      <c r="C10" s="119" t="s">
        <v>65</v>
      </c>
      <c r="D10" s="119">
        <v>100000.0</v>
      </c>
      <c r="E10" s="119">
        <v>9990.0</v>
      </c>
      <c r="F10" s="150">
        <f t="shared" si="2"/>
        <v>34660</v>
      </c>
      <c r="G10" s="147">
        <v>4375.0</v>
      </c>
      <c r="H10" s="148">
        <f t="shared" si="1"/>
        <v>43706250</v>
      </c>
      <c r="I10" s="148">
        <f t="shared" si="4"/>
        <v>151637500</v>
      </c>
      <c r="J10" s="149" t="str">
        <f t="shared" si="3"/>
        <v>Open</v>
      </c>
    </row>
    <row r="11">
      <c r="A11" s="119" t="s">
        <v>155</v>
      </c>
      <c r="B11" s="146">
        <v>45740.0</v>
      </c>
      <c r="C11" s="119" t="s">
        <v>65</v>
      </c>
      <c r="D11" s="119">
        <v>100000.0</v>
      </c>
      <c r="E11" s="119">
        <v>9980.0</v>
      </c>
      <c r="F11" s="150">
        <f t="shared" si="2"/>
        <v>24680</v>
      </c>
      <c r="G11" s="147">
        <v>4375.0</v>
      </c>
      <c r="H11" s="148">
        <f t="shared" si="1"/>
        <v>43662500</v>
      </c>
      <c r="I11" s="148">
        <f t="shared" si="4"/>
        <v>107975000</v>
      </c>
      <c r="J11" s="149" t="str">
        <f t="shared" si="3"/>
        <v>Open</v>
      </c>
    </row>
    <row r="12">
      <c r="A12" s="119" t="s">
        <v>155</v>
      </c>
      <c r="B12" s="146">
        <v>45757.0</v>
      </c>
      <c r="C12" s="119" t="s">
        <v>65</v>
      </c>
      <c r="D12" s="119">
        <v>100000.0</v>
      </c>
      <c r="E12" s="119">
        <v>8980.0</v>
      </c>
      <c r="F12" s="150">
        <f t="shared" si="2"/>
        <v>15700</v>
      </c>
      <c r="G12" s="147">
        <v>4375.0</v>
      </c>
      <c r="H12" s="148">
        <f t="shared" si="1"/>
        <v>39287500</v>
      </c>
      <c r="I12" s="148">
        <f t="shared" si="4"/>
        <v>68687500</v>
      </c>
      <c r="J12" s="149" t="str">
        <f t="shared" si="3"/>
        <v>Open</v>
      </c>
    </row>
    <row r="13">
      <c r="A13" s="119" t="s">
        <v>155</v>
      </c>
      <c r="B13" s="146">
        <v>45762.0</v>
      </c>
      <c r="C13" s="119" t="s">
        <v>65</v>
      </c>
      <c r="D13" s="119">
        <v>100000.0</v>
      </c>
      <c r="E13" s="119">
        <v>19960.0</v>
      </c>
      <c r="F13" s="150">
        <f t="shared" si="2"/>
        <v>-4260</v>
      </c>
      <c r="G13" s="147">
        <v>4000.0</v>
      </c>
      <c r="H13" s="148">
        <f t="shared" si="1"/>
        <v>87325000</v>
      </c>
      <c r="I13" s="148">
        <f t="shared" si="4"/>
        <v>-18637500</v>
      </c>
      <c r="J13" s="149" t="str">
        <f t="shared" si="3"/>
        <v>Closed</v>
      </c>
    </row>
    <row r="14">
      <c r="A14" s="119" t="s">
        <v>155</v>
      </c>
      <c r="B14" s="146"/>
      <c r="C14" s="119" t="s">
        <v>65</v>
      </c>
      <c r="D14" s="119">
        <v>100000.0</v>
      </c>
      <c r="E14" s="119"/>
      <c r="F14" s="150" t="str">
        <f t="shared" si="2"/>
        <v/>
      </c>
      <c r="G14" s="147">
        <v>4375.0</v>
      </c>
      <c r="H14" s="151" t="str">
        <f t="shared" si="1"/>
        <v/>
      </c>
      <c r="I14" s="151" t="str">
        <f t="shared" si="4"/>
        <v/>
      </c>
      <c r="J14" s="149" t="str">
        <f t="shared" si="3"/>
        <v/>
      </c>
    </row>
    <row r="15">
      <c r="A15" s="119" t="s">
        <v>155</v>
      </c>
      <c r="B15" s="146"/>
      <c r="C15" s="119" t="s">
        <v>65</v>
      </c>
      <c r="D15" s="119">
        <v>100000.0</v>
      </c>
      <c r="E15" s="119"/>
      <c r="F15" s="150" t="str">
        <f t="shared" si="2"/>
        <v/>
      </c>
      <c r="G15" s="147">
        <v>4375.0</v>
      </c>
      <c r="H15" s="151" t="str">
        <f t="shared" si="1"/>
        <v/>
      </c>
      <c r="I15" s="151" t="str">
        <f t="shared" si="4"/>
        <v/>
      </c>
      <c r="J15" s="149" t="str">
        <f t="shared" si="3"/>
        <v/>
      </c>
    </row>
    <row r="16">
      <c r="A16" s="119" t="s">
        <v>155</v>
      </c>
      <c r="B16" s="146"/>
      <c r="C16" s="119" t="s">
        <v>65</v>
      </c>
      <c r="D16" s="119">
        <v>100000.0</v>
      </c>
      <c r="E16" s="119"/>
      <c r="F16" s="150" t="str">
        <f t="shared" si="2"/>
        <v/>
      </c>
      <c r="G16" s="147">
        <v>4375.0</v>
      </c>
      <c r="H16" s="151" t="str">
        <f t="shared" si="1"/>
        <v/>
      </c>
      <c r="I16" s="151" t="str">
        <f t="shared" si="4"/>
        <v/>
      </c>
      <c r="J16" s="149" t="str">
        <f t="shared" si="3"/>
        <v/>
      </c>
    </row>
    <row r="17">
      <c r="A17" s="119" t="s">
        <v>155</v>
      </c>
      <c r="B17" s="146"/>
      <c r="C17" s="119" t="s">
        <v>65</v>
      </c>
      <c r="D17" s="119">
        <v>100000.0</v>
      </c>
      <c r="E17" s="119"/>
      <c r="F17" s="150" t="str">
        <f t="shared" si="2"/>
        <v/>
      </c>
      <c r="G17" s="147">
        <v>4375.0</v>
      </c>
      <c r="H17" s="151" t="str">
        <f t="shared" si="1"/>
        <v/>
      </c>
      <c r="I17" s="151" t="str">
        <f t="shared" si="4"/>
        <v/>
      </c>
      <c r="J17" s="149" t="str">
        <f t="shared" si="3"/>
        <v/>
      </c>
    </row>
    <row r="18">
      <c r="A18" s="119" t="s">
        <v>156</v>
      </c>
      <c r="B18" s="146">
        <v>45731.0</v>
      </c>
      <c r="C18" s="119" t="s">
        <v>124</v>
      </c>
      <c r="D18" s="119">
        <v>20000.0</v>
      </c>
      <c r="E18" s="119">
        <v>0.0</v>
      </c>
      <c r="F18" s="119">
        <v>20000.0</v>
      </c>
      <c r="G18" s="147">
        <v>8000.0</v>
      </c>
      <c r="H18" s="148">
        <f t="shared" si="1"/>
        <v>0</v>
      </c>
      <c r="I18" s="148">
        <f>F18*G18</f>
        <v>160000000</v>
      </c>
      <c r="J18" s="149" t="str">
        <f>IF(OR(D18="",E18=""),"",IF(F18&lt;=0,"Closed","Open"))</f>
        <v>Open</v>
      </c>
    </row>
    <row r="19">
      <c r="A19" s="119" t="s">
        <v>156</v>
      </c>
      <c r="B19" s="146">
        <v>45733.0</v>
      </c>
      <c r="C19" s="119" t="s">
        <v>124</v>
      </c>
      <c r="D19" s="119">
        <v>20000.0</v>
      </c>
      <c r="E19" s="119">
        <v>8520.0</v>
      </c>
      <c r="F19" s="150">
        <f t="shared" ref="F19:F25" si="5">IF(E19="","",(SUM(F18-E19)))</f>
        <v>11480</v>
      </c>
      <c r="G19" s="147">
        <v>8000.0</v>
      </c>
      <c r="H19" s="148">
        <f t="shared" si="1"/>
        <v>37275000</v>
      </c>
      <c r="I19" s="148">
        <f>IF(F19="","",(SUM(G18*F19)))</f>
        <v>91840000</v>
      </c>
      <c r="J19" s="149" t="str">
        <f t="shared" ref="J19:J25" si="6">IF(OR(F19="",E19=""),"",IF(F19&lt;=0,"Closed","Open"))</f>
        <v>Open</v>
      </c>
    </row>
    <row r="20">
      <c r="A20" s="119" t="s">
        <v>156</v>
      </c>
      <c r="B20" s="146">
        <v>45740.0</v>
      </c>
      <c r="C20" s="119" t="s">
        <v>124</v>
      </c>
      <c r="D20" s="119">
        <v>20000.0</v>
      </c>
      <c r="E20" s="119">
        <v>8500.0</v>
      </c>
      <c r="F20" s="150">
        <f t="shared" si="5"/>
        <v>2980</v>
      </c>
      <c r="G20" s="147">
        <v>8000.0</v>
      </c>
      <c r="H20" s="148">
        <f t="shared" si="1"/>
        <v>37187500</v>
      </c>
      <c r="I20" s="148">
        <f>IF(F20="","",(SUM(G18*F20)))</f>
        <v>23840000</v>
      </c>
      <c r="J20" s="149" t="str">
        <f t="shared" si="6"/>
        <v>Open</v>
      </c>
    </row>
    <row r="21">
      <c r="A21" s="119" t="s">
        <v>156</v>
      </c>
      <c r="B21" s="146"/>
      <c r="C21" s="119" t="s">
        <v>124</v>
      </c>
      <c r="D21" s="119">
        <v>20000.0</v>
      </c>
      <c r="E21" s="119"/>
      <c r="F21" s="150" t="str">
        <f t="shared" si="5"/>
        <v/>
      </c>
      <c r="G21" s="147">
        <v>8000.0</v>
      </c>
      <c r="H21" s="151" t="str">
        <f t="shared" si="1"/>
        <v/>
      </c>
      <c r="I21" s="151" t="str">
        <f>IF(F21="","",(SUM(G18*F21)))</f>
        <v/>
      </c>
      <c r="J21" s="149" t="str">
        <f t="shared" si="6"/>
        <v/>
      </c>
    </row>
    <row r="22">
      <c r="A22" s="119" t="s">
        <v>156</v>
      </c>
      <c r="B22" s="146"/>
      <c r="C22" s="119" t="s">
        <v>124</v>
      </c>
      <c r="D22" s="119">
        <v>20000.0</v>
      </c>
      <c r="E22" s="119"/>
      <c r="F22" s="150" t="str">
        <f t="shared" si="5"/>
        <v/>
      </c>
      <c r="G22" s="147">
        <v>8000.0</v>
      </c>
      <c r="H22" s="151" t="str">
        <f t="shared" si="1"/>
        <v/>
      </c>
      <c r="I22" s="151" t="str">
        <f>IF(F22="","",(SUM(G18*F22)))</f>
        <v/>
      </c>
      <c r="J22" s="149" t="str">
        <f t="shared" si="6"/>
        <v/>
      </c>
    </row>
    <row r="23">
      <c r="A23" s="119" t="s">
        <v>156</v>
      </c>
      <c r="B23" s="146"/>
      <c r="C23" s="119" t="s">
        <v>124</v>
      </c>
      <c r="D23" s="119">
        <v>20000.0</v>
      </c>
      <c r="E23" s="119"/>
      <c r="F23" s="150" t="str">
        <f t="shared" si="5"/>
        <v/>
      </c>
      <c r="G23" s="147">
        <v>8000.0</v>
      </c>
      <c r="H23" s="151" t="str">
        <f t="shared" si="1"/>
        <v/>
      </c>
      <c r="I23" s="151" t="str">
        <f>IF(F23="","",(SUM(G18*F23)))</f>
        <v/>
      </c>
      <c r="J23" s="149" t="str">
        <f t="shared" si="6"/>
        <v/>
      </c>
    </row>
    <row r="24">
      <c r="A24" s="119" t="s">
        <v>156</v>
      </c>
      <c r="B24" s="146"/>
      <c r="C24" s="119" t="s">
        <v>124</v>
      </c>
      <c r="D24" s="119">
        <v>20000.0</v>
      </c>
      <c r="E24" s="119"/>
      <c r="F24" s="150" t="str">
        <f t="shared" si="5"/>
        <v/>
      </c>
      <c r="G24" s="147">
        <v>8000.0</v>
      </c>
      <c r="H24" s="151" t="str">
        <f t="shared" si="1"/>
        <v/>
      </c>
      <c r="I24" s="151" t="str">
        <f>IF(F24="","",(SUM(G18*F24)))</f>
        <v/>
      </c>
      <c r="J24" s="149" t="str">
        <f t="shared" si="6"/>
        <v/>
      </c>
    </row>
    <row r="25">
      <c r="A25" s="119" t="s">
        <v>156</v>
      </c>
      <c r="B25" s="146"/>
      <c r="C25" s="119" t="s">
        <v>124</v>
      </c>
      <c r="D25" s="119">
        <v>20000.0</v>
      </c>
      <c r="E25" s="119"/>
      <c r="F25" s="150" t="str">
        <f t="shared" si="5"/>
        <v/>
      </c>
      <c r="G25" s="147">
        <v>8000.0</v>
      </c>
      <c r="H25" s="151" t="str">
        <f t="shared" si="1"/>
        <v/>
      </c>
      <c r="I25" s="151" t="str">
        <f>IF(F25="","",(SUM(G18*F25)))</f>
        <v/>
      </c>
      <c r="J25" s="149" t="str">
        <f t="shared" si="6"/>
        <v/>
      </c>
    </row>
    <row r="29">
      <c r="A29" s="143" t="s">
        <v>146</v>
      </c>
      <c r="B29" s="144" t="s">
        <v>147</v>
      </c>
      <c r="C29" s="143" t="s">
        <v>148</v>
      </c>
      <c r="D29" s="143" t="s">
        <v>149</v>
      </c>
      <c r="E29" s="144" t="s">
        <v>150</v>
      </c>
      <c r="F29" s="145" t="s">
        <v>112</v>
      </c>
      <c r="G29" s="144" t="s">
        <v>151</v>
      </c>
      <c r="H29" s="144" t="s">
        <v>152</v>
      </c>
      <c r="I29" s="144" t="s">
        <v>153</v>
      </c>
      <c r="J29" s="144" t="s">
        <v>154</v>
      </c>
    </row>
    <row r="30">
      <c r="A30" s="119" t="s">
        <v>157</v>
      </c>
      <c r="B30" s="146">
        <v>45761.0</v>
      </c>
      <c r="C30" s="119" t="s">
        <v>65</v>
      </c>
      <c r="D30" s="119">
        <v>50000.0</v>
      </c>
      <c r="E30" s="119">
        <v>0.0</v>
      </c>
      <c r="F30" s="119">
        <f>D30-E30</f>
        <v>50000</v>
      </c>
      <c r="G30" s="147">
        <v>4400.0</v>
      </c>
      <c r="H30" s="148">
        <f t="shared" ref="H30:H44" si="7">IF(E30="","",(SUM($G$3*E30)))</f>
        <v>0</v>
      </c>
      <c r="I30" s="148">
        <f>F30*G30</f>
        <v>220000000</v>
      </c>
      <c r="J30" s="149" t="str">
        <f>IF(OR(D30="",E30=""),"",IF(F30&lt;=0,"Closed","Open"))</f>
        <v>Open</v>
      </c>
    </row>
    <row r="31">
      <c r="A31" s="119" t="s">
        <v>157</v>
      </c>
      <c r="B31" s="146"/>
      <c r="C31" s="119" t="s">
        <v>65</v>
      </c>
      <c r="D31" s="119">
        <v>50000.0</v>
      </c>
      <c r="E31" s="119"/>
      <c r="F31" s="150" t="str">
        <f t="shared" ref="F31:F44" si="8">IF(E31="","",(SUM(F30-E31)))</f>
        <v/>
      </c>
      <c r="G31" s="147">
        <v>4400.0</v>
      </c>
      <c r="H31" s="151" t="str">
        <f t="shared" si="7"/>
        <v/>
      </c>
      <c r="I31" s="151" t="str">
        <f>IF(F31="","",(SUM(G30*F31)))</f>
        <v/>
      </c>
      <c r="J31" s="149" t="str">
        <f t="shared" ref="J31:J44" si="9">IF(OR(F31="",E31=""),"",IF(F31&lt;=0,"Closed","Open"))</f>
        <v/>
      </c>
    </row>
    <row r="32">
      <c r="A32" s="119" t="s">
        <v>157</v>
      </c>
      <c r="B32" s="146"/>
      <c r="C32" s="119" t="s">
        <v>65</v>
      </c>
      <c r="D32" s="119">
        <v>50000.0</v>
      </c>
      <c r="E32" s="119"/>
      <c r="F32" s="150" t="str">
        <f t="shared" si="8"/>
        <v/>
      </c>
      <c r="G32" s="147">
        <v>4400.0</v>
      </c>
      <c r="H32" s="151" t="str">
        <f t="shared" si="7"/>
        <v/>
      </c>
      <c r="I32" s="151" t="str">
        <f>IF(F32="","",(SUM(G30*F32)))</f>
        <v/>
      </c>
      <c r="J32" s="149" t="str">
        <f t="shared" si="9"/>
        <v/>
      </c>
    </row>
    <row r="33">
      <c r="A33" s="119" t="s">
        <v>157</v>
      </c>
      <c r="B33" s="146"/>
      <c r="C33" s="119" t="s">
        <v>65</v>
      </c>
      <c r="D33" s="119">
        <v>50000.0</v>
      </c>
      <c r="E33" s="119"/>
      <c r="F33" s="150" t="str">
        <f t="shared" si="8"/>
        <v/>
      </c>
      <c r="G33" s="147">
        <v>4400.0</v>
      </c>
      <c r="H33" s="151" t="str">
        <f t="shared" si="7"/>
        <v/>
      </c>
      <c r="I33" s="151" t="str">
        <f>IF(F33="","",(SUM(G30*F33)))</f>
        <v/>
      </c>
      <c r="J33" s="149" t="str">
        <f t="shared" si="9"/>
        <v/>
      </c>
    </row>
    <row r="34">
      <c r="A34" s="119" t="s">
        <v>157</v>
      </c>
      <c r="B34" s="146"/>
      <c r="C34" s="119" t="s">
        <v>65</v>
      </c>
      <c r="D34" s="119">
        <v>50000.0</v>
      </c>
      <c r="E34" s="119"/>
      <c r="F34" s="150" t="str">
        <f t="shared" si="8"/>
        <v/>
      </c>
      <c r="G34" s="147">
        <v>4400.0</v>
      </c>
      <c r="H34" s="151" t="str">
        <f t="shared" si="7"/>
        <v/>
      </c>
      <c r="I34" s="151" t="str">
        <f>IF(F34="","",(SUM(G30*F34)))</f>
        <v/>
      </c>
      <c r="J34" s="149" t="str">
        <f t="shared" si="9"/>
        <v/>
      </c>
    </row>
    <row r="35">
      <c r="A35" s="119" t="s">
        <v>157</v>
      </c>
      <c r="B35" s="146"/>
      <c r="C35" s="119" t="s">
        <v>65</v>
      </c>
      <c r="D35" s="119">
        <v>50000.0</v>
      </c>
      <c r="E35" s="119"/>
      <c r="F35" s="150" t="str">
        <f t="shared" si="8"/>
        <v/>
      </c>
      <c r="G35" s="147">
        <v>4400.0</v>
      </c>
      <c r="H35" s="151" t="str">
        <f t="shared" si="7"/>
        <v/>
      </c>
      <c r="I35" s="151" t="str">
        <f t="shared" ref="I35:I44" si="10">IF(F35="","",(SUM(G30*F35)))</f>
        <v/>
      </c>
      <c r="J35" s="149" t="str">
        <f t="shared" si="9"/>
        <v/>
      </c>
    </row>
    <row r="36">
      <c r="A36" s="119" t="s">
        <v>157</v>
      </c>
      <c r="B36" s="146"/>
      <c r="C36" s="119" t="s">
        <v>65</v>
      </c>
      <c r="D36" s="119">
        <v>50000.0</v>
      </c>
      <c r="E36" s="119"/>
      <c r="F36" s="150" t="str">
        <f t="shared" si="8"/>
        <v/>
      </c>
      <c r="G36" s="147">
        <v>4400.0</v>
      </c>
      <c r="H36" s="151" t="str">
        <f t="shared" si="7"/>
        <v/>
      </c>
      <c r="I36" s="151" t="str">
        <f t="shared" si="10"/>
        <v/>
      </c>
      <c r="J36" s="149" t="str">
        <f t="shared" si="9"/>
        <v/>
      </c>
    </row>
    <row r="37">
      <c r="A37" s="119" t="s">
        <v>157</v>
      </c>
      <c r="B37" s="146"/>
      <c r="C37" s="119" t="s">
        <v>65</v>
      </c>
      <c r="D37" s="119">
        <v>50000.0</v>
      </c>
      <c r="E37" s="119"/>
      <c r="F37" s="150" t="str">
        <f t="shared" si="8"/>
        <v/>
      </c>
      <c r="G37" s="147">
        <v>4400.0</v>
      </c>
      <c r="H37" s="151" t="str">
        <f t="shared" si="7"/>
        <v/>
      </c>
      <c r="I37" s="151" t="str">
        <f t="shared" si="10"/>
        <v/>
      </c>
      <c r="J37" s="149" t="str">
        <f t="shared" si="9"/>
        <v/>
      </c>
    </row>
    <row r="38">
      <c r="A38" s="119" t="s">
        <v>157</v>
      </c>
      <c r="B38" s="146"/>
      <c r="C38" s="119" t="s">
        <v>65</v>
      </c>
      <c r="D38" s="119">
        <v>50000.0</v>
      </c>
      <c r="E38" s="119"/>
      <c r="F38" s="150" t="str">
        <f t="shared" si="8"/>
        <v/>
      </c>
      <c r="G38" s="147">
        <v>4400.0</v>
      </c>
      <c r="H38" s="151" t="str">
        <f t="shared" si="7"/>
        <v/>
      </c>
      <c r="I38" s="151" t="str">
        <f t="shared" si="10"/>
        <v/>
      </c>
      <c r="J38" s="149" t="str">
        <f t="shared" si="9"/>
        <v/>
      </c>
    </row>
    <row r="39">
      <c r="A39" s="119" t="s">
        <v>157</v>
      </c>
      <c r="B39" s="146"/>
      <c r="C39" s="119" t="s">
        <v>65</v>
      </c>
      <c r="D39" s="119">
        <v>50000.0</v>
      </c>
      <c r="E39" s="119"/>
      <c r="F39" s="150" t="str">
        <f t="shared" si="8"/>
        <v/>
      </c>
      <c r="G39" s="147">
        <v>4400.0</v>
      </c>
      <c r="H39" s="151" t="str">
        <f t="shared" si="7"/>
        <v/>
      </c>
      <c r="I39" s="151" t="str">
        <f t="shared" si="10"/>
        <v/>
      </c>
      <c r="J39" s="149" t="str">
        <f t="shared" si="9"/>
        <v/>
      </c>
    </row>
    <row r="40">
      <c r="A40" s="119" t="s">
        <v>157</v>
      </c>
      <c r="B40" s="146"/>
      <c r="C40" s="119" t="s">
        <v>65</v>
      </c>
      <c r="D40" s="119">
        <v>50000.0</v>
      </c>
      <c r="E40" s="119"/>
      <c r="F40" s="150" t="str">
        <f t="shared" si="8"/>
        <v/>
      </c>
      <c r="G40" s="147">
        <v>4400.0</v>
      </c>
      <c r="H40" s="151" t="str">
        <f t="shared" si="7"/>
        <v/>
      </c>
      <c r="I40" s="151" t="str">
        <f t="shared" si="10"/>
        <v/>
      </c>
      <c r="J40" s="149" t="str">
        <f t="shared" si="9"/>
        <v/>
      </c>
    </row>
    <row r="41">
      <c r="A41" s="119" t="s">
        <v>157</v>
      </c>
      <c r="B41" s="146"/>
      <c r="C41" s="119" t="s">
        <v>65</v>
      </c>
      <c r="D41" s="119">
        <v>50000.0</v>
      </c>
      <c r="E41" s="119"/>
      <c r="F41" s="150" t="str">
        <f t="shared" si="8"/>
        <v/>
      </c>
      <c r="G41" s="147">
        <v>4400.0</v>
      </c>
      <c r="H41" s="151" t="str">
        <f t="shared" si="7"/>
        <v/>
      </c>
      <c r="I41" s="151" t="str">
        <f t="shared" si="10"/>
        <v/>
      </c>
      <c r="J41" s="149" t="str">
        <f t="shared" si="9"/>
        <v/>
      </c>
    </row>
    <row r="42">
      <c r="A42" s="119" t="s">
        <v>157</v>
      </c>
      <c r="B42" s="146"/>
      <c r="C42" s="119" t="s">
        <v>65</v>
      </c>
      <c r="D42" s="119">
        <v>50000.0</v>
      </c>
      <c r="E42" s="119"/>
      <c r="F42" s="150" t="str">
        <f t="shared" si="8"/>
        <v/>
      </c>
      <c r="G42" s="147">
        <v>4400.0</v>
      </c>
      <c r="H42" s="151" t="str">
        <f t="shared" si="7"/>
        <v/>
      </c>
      <c r="I42" s="151" t="str">
        <f t="shared" si="10"/>
        <v/>
      </c>
      <c r="J42" s="149" t="str">
        <f t="shared" si="9"/>
        <v/>
      </c>
    </row>
    <row r="43">
      <c r="A43" s="119" t="s">
        <v>157</v>
      </c>
      <c r="B43" s="146"/>
      <c r="C43" s="119" t="s">
        <v>65</v>
      </c>
      <c r="D43" s="119">
        <v>50000.0</v>
      </c>
      <c r="E43" s="119"/>
      <c r="F43" s="150" t="str">
        <f t="shared" si="8"/>
        <v/>
      </c>
      <c r="G43" s="147">
        <v>4400.0</v>
      </c>
      <c r="H43" s="151" t="str">
        <f t="shared" si="7"/>
        <v/>
      </c>
      <c r="I43" s="151" t="str">
        <f t="shared" si="10"/>
        <v/>
      </c>
      <c r="J43" s="149" t="str">
        <f t="shared" si="9"/>
        <v/>
      </c>
    </row>
    <row r="44">
      <c r="A44" s="119" t="s">
        <v>157</v>
      </c>
      <c r="B44" s="146"/>
      <c r="C44" s="119" t="s">
        <v>65</v>
      </c>
      <c r="D44" s="119">
        <v>50000.0</v>
      </c>
      <c r="E44" s="119"/>
      <c r="F44" s="150" t="str">
        <f t="shared" si="8"/>
        <v/>
      </c>
      <c r="G44" s="147">
        <v>4400.0</v>
      </c>
      <c r="H44" s="151" t="str">
        <f t="shared" si="7"/>
        <v/>
      </c>
      <c r="I44" s="151" t="str">
        <f t="shared" si="10"/>
        <v/>
      </c>
      <c r="J44" s="149" t="str">
        <f t="shared" si="9"/>
        <v/>
      </c>
    </row>
  </sheetData>
  <mergeCells count="1">
    <mergeCell ref="A1:J1"/>
  </mergeCells>
  <conditionalFormatting sqref="H3:J25 H30:J44">
    <cfRule type="cellIs" dxfId="6" priority="1" operator="equal">
      <formula>"Open"</formula>
    </cfRule>
  </conditionalFormatting>
  <conditionalFormatting sqref="H3:J25 H30:J44">
    <cfRule type="cellIs" dxfId="7" priority="2" operator="equal">
      <formula>"Closed"</formula>
    </cfRule>
  </conditionalFormatting>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5" max="5" width="14.5"/>
    <col customWidth="1" min="6" max="6" width="14.63"/>
    <col customWidth="1" min="8" max="8" width="23.88"/>
    <col customWidth="1" min="9" max="9" width="21.5"/>
  </cols>
  <sheetData>
    <row r="1">
      <c r="A1" s="39" t="s">
        <v>158</v>
      </c>
    </row>
    <row r="2">
      <c r="A2" s="152" t="s">
        <v>146</v>
      </c>
      <c r="B2" s="153" t="s">
        <v>147</v>
      </c>
      <c r="C2" s="152" t="s">
        <v>148</v>
      </c>
      <c r="D2" s="152" t="s">
        <v>149</v>
      </c>
      <c r="E2" s="153" t="s">
        <v>150</v>
      </c>
      <c r="F2" s="154" t="s">
        <v>112</v>
      </c>
      <c r="G2" s="153" t="s">
        <v>151</v>
      </c>
      <c r="H2" s="153" t="s">
        <v>159</v>
      </c>
      <c r="I2" s="153" t="s">
        <v>153</v>
      </c>
      <c r="J2" s="153" t="s">
        <v>154</v>
      </c>
    </row>
    <row r="3">
      <c r="A3" s="51" t="s">
        <v>160</v>
      </c>
      <c r="B3" s="155">
        <v>45731.0</v>
      </c>
      <c r="C3" s="51" t="s">
        <v>65</v>
      </c>
      <c r="D3" s="51">
        <v>50000.0</v>
      </c>
      <c r="E3" s="150">
        <v>0.0</v>
      </c>
      <c r="F3" s="150">
        <f>D3-E3</f>
        <v>50000</v>
      </c>
      <c r="G3" s="156">
        <v>4300.0</v>
      </c>
      <c r="H3" s="157">
        <f t="shared" ref="H3:H42" si="1">IF(E3="","",(SUM($G$3*E3)))</f>
        <v>0</v>
      </c>
      <c r="I3" s="158">
        <f>F3*G3</f>
        <v>215000000</v>
      </c>
      <c r="J3" s="159" t="str">
        <f>IF(OR(D3="",E3=""),"",IF(F3&lt;=0,"Closed","Open"))</f>
        <v>Open</v>
      </c>
    </row>
    <row r="4">
      <c r="A4" s="94"/>
      <c r="B4" s="160">
        <v>45735.0</v>
      </c>
      <c r="C4" s="94"/>
      <c r="D4" s="94"/>
      <c r="E4" s="161">
        <v>8970.0</v>
      </c>
      <c r="F4" s="161">
        <f t="shared" ref="F4:F10" si="2">IF(E4="","",(SUM(F3-E4)))</f>
        <v>41030</v>
      </c>
      <c r="G4" s="94"/>
      <c r="H4" s="162">
        <f t="shared" si="1"/>
        <v>38571000</v>
      </c>
      <c r="I4" s="163">
        <f>IF(F4="","",(SUM(G3*F4)))</f>
        <v>176429000</v>
      </c>
      <c r="J4" s="164" t="str">
        <f t="shared" ref="J4:J10" si="3">IF(OR(F4="",E4=""),"",IF(F4&lt;=0,"Closed","Open"))</f>
        <v>Open</v>
      </c>
    </row>
    <row r="5">
      <c r="A5" s="61"/>
      <c r="B5" s="155">
        <v>45735.0</v>
      </c>
      <c r="C5" s="61"/>
      <c r="D5" s="61"/>
      <c r="E5" s="150">
        <v>9970.0</v>
      </c>
      <c r="F5" s="150">
        <f t="shared" si="2"/>
        <v>31060</v>
      </c>
      <c r="G5" s="61"/>
      <c r="H5" s="157">
        <f t="shared" si="1"/>
        <v>42871000</v>
      </c>
      <c r="I5" s="158">
        <f>IF(F5="","",(SUM(G3*F5)))</f>
        <v>133558000</v>
      </c>
      <c r="J5" s="159" t="str">
        <f t="shared" si="3"/>
        <v>Open</v>
      </c>
    </row>
    <row r="6">
      <c r="A6" s="94"/>
      <c r="B6" s="160">
        <v>45737.0</v>
      </c>
      <c r="C6" s="94"/>
      <c r="D6" s="94"/>
      <c r="E6" s="161">
        <v>10030.0</v>
      </c>
      <c r="F6" s="161">
        <f t="shared" si="2"/>
        <v>21030</v>
      </c>
      <c r="G6" s="94"/>
      <c r="H6" s="162">
        <f t="shared" si="1"/>
        <v>43129000</v>
      </c>
      <c r="I6" s="163">
        <f>IF(F6="","",(SUM(G3*F6)))</f>
        <v>90429000</v>
      </c>
      <c r="J6" s="164" t="str">
        <f t="shared" si="3"/>
        <v>Open</v>
      </c>
    </row>
    <row r="7">
      <c r="A7" s="61"/>
      <c r="B7" s="155">
        <v>45740.0</v>
      </c>
      <c r="C7" s="61"/>
      <c r="D7" s="61"/>
      <c r="E7" s="150">
        <v>8950.0</v>
      </c>
      <c r="F7" s="150">
        <f t="shared" si="2"/>
        <v>12080</v>
      </c>
      <c r="G7" s="61"/>
      <c r="H7" s="157">
        <f t="shared" si="1"/>
        <v>38485000</v>
      </c>
      <c r="I7" s="158">
        <f>IF(F7="","",(SUM(G3*F7)))</f>
        <v>51944000</v>
      </c>
      <c r="J7" s="159" t="str">
        <f t="shared" si="3"/>
        <v>Open</v>
      </c>
    </row>
    <row r="8">
      <c r="A8" s="94"/>
      <c r="B8" s="160"/>
      <c r="C8" s="94"/>
      <c r="D8" s="94"/>
      <c r="E8" s="161"/>
      <c r="F8" s="161" t="str">
        <f t="shared" si="2"/>
        <v/>
      </c>
      <c r="G8" s="94"/>
      <c r="H8" s="165" t="str">
        <f t="shared" si="1"/>
        <v/>
      </c>
      <c r="I8" s="166" t="str">
        <f>IF(F8="","",(SUM(G3*F8)))</f>
        <v/>
      </c>
      <c r="J8" s="164" t="str">
        <f t="shared" si="3"/>
        <v/>
      </c>
    </row>
    <row r="9">
      <c r="A9" s="61"/>
      <c r="B9" s="155"/>
      <c r="C9" s="61"/>
      <c r="D9" s="61"/>
      <c r="E9" s="150"/>
      <c r="F9" s="150" t="str">
        <f t="shared" si="2"/>
        <v/>
      </c>
      <c r="G9" s="61"/>
      <c r="H9" s="167" t="str">
        <f t="shared" si="1"/>
        <v/>
      </c>
      <c r="I9" s="168" t="str">
        <f>IF(F9="","",(SUM(G3*F9)))</f>
        <v/>
      </c>
      <c r="J9" s="159" t="str">
        <f t="shared" si="3"/>
        <v/>
      </c>
    </row>
    <row r="10">
      <c r="A10" s="138"/>
      <c r="B10" s="160"/>
      <c r="C10" s="138"/>
      <c r="D10" s="138"/>
      <c r="E10" s="161"/>
      <c r="F10" s="161" t="str">
        <f t="shared" si="2"/>
        <v/>
      </c>
      <c r="G10" s="138"/>
      <c r="H10" s="165" t="str">
        <f t="shared" si="1"/>
        <v/>
      </c>
      <c r="I10" s="166" t="str">
        <f>IF(F10="","",(SUM(G3*F10)))</f>
        <v/>
      </c>
      <c r="J10" s="164" t="str">
        <f t="shared" si="3"/>
        <v/>
      </c>
    </row>
    <row r="11">
      <c r="A11" s="51" t="s">
        <v>161</v>
      </c>
      <c r="B11" s="155">
        <v>45731.0</v>
      </c>
      <c r="C11" s="51" t="s">
        <v>65</v>
      </c>
      <c r="D11" s="51">
        <v>40970.0</v>
      </c>
      <c r="E11" s="150">
        <v>0.0</v>
      </c>
      <c r="F11" s="150">
        <v>40970.0</v>
      </c>
      <c r="G11" s="156">
        <v>4300.0</v>
      </c>
      <c r="H11" s="157">
        <f t="shared" si="1"/>
        <v>0</v>
      </c>
      <c r="I11" s="158">
        <f>F11*G11</f>
        <v>176171000</v>
      </c>
      <c r="J11" s="159" t="str">
        <f>IF(OR(D11="",E11=""),"",IF(F11&lt;=0,"Closed","Open"))</f>
        <v>Open</v>
      </c>
    </row>
    <row r="12">
      <c r="A12" s="94"/>
      <c r="B12" s="160">
        <v>45733.0</v>
      </c>
      <c r="C12" s="94"/>
      <c r="D12" s="94"/>
      <c r="E12" s="161">
        <v>8980.0</v>
      </c>
      <c r="F12" s="161">
        <f t="shared" ref="F12:F18" si="4">IF(E12="","",(SUM(F11-E12)))</f>
        <v>31990</v>
      </c>
      <c r="G12" s="94"/>
      <c r="H12" s="162">
        <f t="shared" si="1"/>
        <v>38614000</v>
      </c>
      <c r="I12" s="163">
        <f>IF(F12="","",(SUM(G11*F12)))</f>
        <v>137557000</v>
      </c>
      <c r="J12" s="164" t="str">
        <f t="shared" ref="J12:J42" si="5">IF(OR(F12="",E12=""),"",IF(F12&lt;=0,"Closed","Open"))</f>
        <v>Open</v>
      </c>
    </row>
    <row r="13">
      <c r="A13" s="61"/>
      <c r="B13" s="155"/>
      <c r="C13" s="61"/>
      <c r="D13" s="61"/>
      <c r="E13" s="150"/>
      <c r="F13" s="150" t="str">
        <f t="shared" si="4"/>
        <v/>
      </c>
      <c r="G13" s="61"/>
      <c r="H13" s="167" t="str">
        <f t="shared" si="1"/>
        <v/>
      </c>
      <c r="I13" s="168" t="str">
        <f>IF(F13="","",(SUM(G11*F13)))</f>
        <v/>
      </c>
      <c r="J13" s="159" t="str">
        <f t="shared" si="5"/>
        <v/>
      </c>
    </row>
    <row r="14">
      <c r="A14" s="94"/>
      <c r="B14" s="160"/>
      <c r="C14" s="94"/>
      <c r="D14" s="94"/>
      <c r="E14" s="161"/>
      <c r="F14" s="161" t="str">
        <f t="shared" si="4"/>
        <v/>
      </c>
      <c r="G14" s="94"/>
      <c r="H14" s="165" t="str">
        <f t="shared" si="1"/>
        <v/>
      </c>
      <c r="I14" s="166" t="str">
        <f>IF(F14="","",(SUM(G11*F14)))</f>
        <v/>
      </c>
      <c r="J14" s="164" t="str">
        <f t="shared" si="5"/>
        <v/>
      </c>
    </row>
    <row r="15">
      <c r="A15" s="61"/>
      <c r="B15" s="155"/>
      <c r="C15" s="61"/>
      <c r="D15" s="61"/>
      <c r="E15" s="150"/>
      <c r="F15" s="150" t="str">
        <f t="shared" si="4"/>
        <v/>
      </c>
      <c r="G15" s="61"/>
      <c r="H15" s="167" t="str">
        <f t="shared" si="1"/>
        <v/>
      </c>
      <c r="I15" s="168" t="str">
        <f>IF(F15="","",(SUM(G11*F15)))</f>
        <v/>
      </c>
      <c r="J15" s="159" t="str">
        <f t="shared" si="5"/>
        <v/>
      </c>
    </row>
    <row r="16">
      <c r="A16" s="94"/>
      <c r="B16" s="160"/>
      <c r="C16" s="94"/>
      <c r="D16" s="94"/>
      <c r="E16" s="161"/>
      <c r="F16" s="161" t="str">
        <f t="shared" si="4"/>
        <v/>
      </c>
      <c r="G16" s="94"/>
      <c r="H16" s="165" t="str">
        <f t="shared" si="1"/>
        <v/>
      </c>
      <c r="I16" s="166" t="str">
        <f>IF(F16="","",(SUM(G11*F16)))</f>
        <v/>
      </c>
      <c r="J16" s="164" t="str">
        <f t="shared" si="5"/>
        <v/>
      </c>
    </row>
    <row r="17">
      <c r="A17" s="61"/>
      <c r="B17" s="155"/>
      <c r="C17" s="61"/>
      <c r="D17" s="61"/>
      <c r="E17" s="150"/>
      <c r="F17" s="150" t="str">
        <f t="shared" si="4"/>
        <v/>
      </c>
      <c r="G17" s="61"/>
      <c r="H17" s="167" t="str">
        <f t="shared" si="1"/>
        <v/>
      </c>
      <c r="I17" s="168" t="str">
        <f>IF(F17="","",(SUM(G11*F17)))</f>
        <v/>
      </c>
      <c r="J17" s="159" t="str">
        <f t="shared" si="5"/>
        <v/>
      </c>
    </row>
    <row r="18">
      <c r="A18" s="138"/>
      <c r="B18" s="160"/>
      <c r="C18" s="138"/>
      <c r="D18" s="138"/>
      <c r="E18" s="161"/>
      <c r="F18" s="161" t="str">
        <f t="shared" si="4"/>
        <v/>
      </c>
      <c r="G18" s="138"/>
      <c r="H18" s="165" t="str">
        <f t="shared" si="1"/>
        <v/>
      </c>
      <c r="I18" s="166" t="str">
        <f>IF(F18="","",(SUM(G11*F18)))</f>
        <v/>
      </c>
      <c r="J18" s="164" t="str">
        <f t="shared" si="5"/>
        <v/>
      </c>
    </row>
    <row r="19">
      <c r="A19" s="51" t="s">
        <v>162</v>
      </c>
      <c r="B19" s="155">
        <v>45731.0</v>
      </c>
      <c r="C19" s="51" t="s">
        <v>130</v>
      </c>
      <c r="D19" s="51">
        <v>13100.0</v>
      </c>
      <c r="E19" s="150">
        <v>0.0</v>
      </c>
      <c r="F19" s="150">
        <f>D19-E19</f>
        <v>13100</v>
      </c>
      <c r="G19" s="156">
        <v>3925.0</v>
      </c>
      <c r="H19" s="157">
        <f t="shared" si="1"/>
        <v>0</v>
      </c>
      <c r="I19" s="158">
        <f>F19*G19</f>
        <v>51417500</v>
      </c>
      <c r="J19" s="159" t="str">
        <f t="shared" si="5"/>
        <v>Open</v>
      </c>
    </row>
    <row r="20">
      <c r="A20" s="94"/>
      <c r="B20" s="160"/>
      <c r="C20" s="94"/>
      <c r="D20" s="94"/>
      <c r="E20" s="161"/>
      <c r="F20" s="161" t="str">
        <f t="shared" ref="F20:F26" si="6">IF(E20="","",(SUM(F19-E20)))</f>
        <v/>
      </c>
      <c r="G20" s="94"/>
      <c r="H20" s="165" t="str">
        <f t="shared" si="1"/>
        <v/>
      </c>
      <c r="I20" s="166" t="str">
        <f>IF(F20="","",(SUM(G19*F20)))</f>
        <v/>
      </c>
      <c r="J20" s="164" t="str">
        <f t="shared" si="5"/>
        <v/>
      </c>
    </row>
    <row r="21">
      <c r="A21" s="61"/>
      <c r="B21" s="155"/>
      <c r="C21" s="61"/>
      <c r="D21" s="61"/>
      <c r="E21" s="150"/>
      <c r="F21" s="150" t="str">
        <f t="shared" si="6"/>
        <v/>
      </c>
      <c r="G21" s="61"/>
      <c r="H21" s="167" t="str">
        <f t="shared" si="1"/>
        <v/>
      </c>
      <c r="I21" s="168" t="str">
        <f>IF(F21="","",(SUM(G19*F21)))</f>
        <v/>
      </c>
      <c r="J21" s="159" t="str">
        <f t="shared" si="5"/>
        <v/>
      </c>
    </row>
    <row r="22">
      <c r="A22" s="94"/>
      <c r="B22" s="160"/>
      <c r="C22" s="94"/>
      <c r="D22" s="94"/>
      <c r="E22" s="161"/>
      <c r="F22" s="161" t="str">
        <f t="shared" si="6"/>
        <v/>
      </c>
      <c r="G22" s="94"/>
      <c r="H22" s="165" t="str">
        <f t="shared" si="1"/>
        <v/>
      </c>
      <c r="I22" s="166" t="str">
        <f>IF(F22="","",(SUM(G19*F22)))</f>
        <v/>
      </c>
      <c r="J22" s="164" t="str">
        <f t="shared" si="5"/>
        <v/>
      </c>
    </row>
    <row r="23">
      <c r="A23" s="61"/>
      <c r="B23" s="155"/>
      <c r="C23" s="61"/>
      <c r="D23" s="61"/>
      <c r="E23" s="150"/>
      <c r="F23" s="150" t="str">
        <f t="shared" si="6"/>
        <v/>
      </c>
      <c r="G23" s="61"/>
      <c r="H23" s="167" t="str">
        <f t="shared" si="1"/>
        <v/>
      </c>
      <c r="I23" s="168" t="str">
        <f>IF(F23="","",(SUM(G19*F23)))</f>
        <v/>
      </c>
      <c r="J23" s="159" t="str">
        <f t="shared" si="5"/>
        <v/>
      </c>
    </row>
    <row r="24">
      <c r="A24" s="94"/>
      <c r="B24" s="160"/>
      <c r="C24" s="94"/>
      <c r="D24" s="94"/>
      <c r="E24" s="161"/>
      <c r="F24" s="161" t="str">
        <f t="shared" si="6"/>
        <v/>
      </c>
      <c r="G24" s="94"/>
      <c r="H24" s="165" t="str">
        <f t="shared" si="1"/>
        <v/>
      </c>
      <c r="I24" s="166" t="str">
        <f>IF(F24="","",(SUM(G19*F24)))</f>
        <v/>
      </c>
      <c r="J24" s="164" t="str">
        <f t="shared" si="5"/>
        <v/>
      </c>
    </row>
    <row r="25">
      <c r="A25" s="61"/>
      <c r="B25" s="155"/>
      <c r="C25" s="61"/>
      <c r="D25" s="61"/>
      <c r="E25" s="150"/>
      <c r="F25" s="150" t="str">
        <f t="shared" si="6"/>
        <v/>
      </c>
      <c r="G25" s="61"/>
      <c r="H25" s="167" t="str">
        <f t="shared" si="1"/>
        <v/>
      </c>
      <c r="I25" s="168" t="str">
        <f>IF(F25="","",(SUM(G19*F25)))</f>
        <v/>
      </c>
      <c r="J25" s="159" t="str">
        <f t="shared" si="5"/>
        <v/>
      </c>
    </row>
    <row r="26">
      <c r="A26" s="138"/>
      <c r="B26" s="160"/>
      <c r="C26" s="138"/>
      <c r="D26" s="138"/>
      <c r="E26" s="161"/>
      <c r="F26" s="161" t="str">
        <f t="shared" si="6"/>
        <v/>
      </c>
      <c r="G26" s="138"/>
      <c r="H26" s="165" t="str">
        <f t="shared" si="1"/>
        <v/>
      </c>
      <c r="I26" s="166" t="str">
        <f>IF(F26="","",(SUM(G19*F26)))</f>
        <v/>
      </c>
      <c r="J26" s="164" t="str">
        <f t="shared" si="5"/>
        <v/>
      </c>
    </row>
    <row r="27">
      <c r="A27" s="51" t="s">
        <v>163</v>
      </c>
      <c r="B27" s="155">
        <v>45731.0</v>
      </c>
      <c r="C27" s="71" t="s">
        <v>46</v>
      </c>
      <c r="D27" s="51">
        <v>30370.0</v>
      </c>
      <c r="E27" s="150">
        <v>0.0</v>
      </c>
      <c r="F27" s="150">
        <f>D27-E27</f>
        <v>30370</v>
      </c>
      <c r="G27" s="156">
        <v>5200.0</v>
      </c>
      <c r="H27" s="157">
        <f t="shared" si="1"/>
        <v>0</v>
      </c>
      <c r="I27" s="158">
        <f>F27*G27</f>
        <v>157924000</v>
      </c>
      <c r="J27" s="159" t="str">
        <f t="shared" si="5"/>
        <v>Open</v>
      </c>
    </row>
    <row r="28">
      <c r="A28" s="94"/>
      <c r="B28" s="160">
        <v>45737.0</v>
      </c>
      <c r="D28" s="94"/>
      <c r="E28" s="161">
        <v>12150.0</v>
      </c>
      <c r="F28" s="161">
        <f t="shared" ref="F28:F34" si="7">IF(E28="","",(SUM(F27-E28)))</f>
        <v>18220</v>
      </c>
      <c r="G28" s="94"/>
      <c r="H28" s="162">
        <f t="shared" si="1"/>
        <v>52245000</v>
      </c>
      <c r="I28" s="163">
        <f>IF(F28="","",(SUM(G27*F28)))</f>
        <v>94744000</v>
      </c>
      <c r="J28" s="164" t="str">
        <f t="shared" si="5"/>
        <v>Open</v>
      </c>
    </row>
    <row r="29">
      <c r="A29" s="61"/>
      <c r="B29" s="155"/>
      <c r="D29" s="61"/>
      <c r="E29" s="150">
        <v>15150.0</v>
      </c>
      <c r="F29" s="150">
        <f t="shared" si="7"/>
        <v>3070</v>
      </c>
      <c r="G29" s="61"/>
      <c r="H29" s="157">
        <f t="shared" si="1"/>
        <v>65145000</v>
      </c>
      <c r="I29" s="158">
        <f>IF(F29="","",(SUM(G27*F29)))</f>
        <v>15964000</v>
      </c>
      <c r="J29" s="159" t="str">
        <f t="shared" si="5"/>
        <v>Open</v>
      </c>
    </row>
    <row r="30">
      <c r="A30" s="94"/>
      <c r="B30" s="160"/>
      <c r="D30" s="94"/>
      <c r="E30" s="161"/>
      <c r="F30" s="161" t="str">
        <f t="shared" si="7"/>
        <v/>
      </c>
      <c r="G30" s="94"/>
      <c r="H30" s="165" t="str">
        <f t="shared" si="1"/>
        <v/>
      </c>
      <c r="I30" s="166" t="str">
        <f>IF(F30="","",(SUM(G27*F30)))</f>
        <v/>
      </c>
      <c r="J30" s="164" t="str">
        <f t="shared" si="5"/>
        <v/>
      </c>
    </row>
    <row r="31">
      <c r="A31" s="61"/>
      <c r="B31" s="155"/>
      <c r="D31" s="61"/>
      <c r="E31" s="150"/>
      <c r="F31" s="150" t="str">
        <f t="shared" si="7"/>
        <v/>
      </c>
      <c r="G31" s="61"/>
      <c r="H31" s="167" t="str">
        <f t="shared" si="1"/>
        <v/>
      </c>
      <c r="I31" s="168" t="str">
        <f>IF(F31="","",(SUM(G27*F31)))</f>
        <v/>
      </c>
      <c r="J31" s="159" t="str">
        <f t="shared" si="5"/>
        <v/>
      </c>
    </row>
    <row r="32">
      <c r="A32" s="94"/>
      <c r="B32" s="160"/>
      <c r="D32" s="94"/>
      <c r="E32" s="161"/>
      <c r="F32" s="161" t="str">
        <f t="shared" si="7"/>
        <v/>
      </c>
      <c r="G32" s="94"/>
      <c r="H32" s="165" t="str">
        <f t="shared" si="1"/>
        <v/>
      </c>
      <c r="I32" s="166" t="str">
        <f>IF(F32="","",(SUM(G27*F32)))</f>
        <v/>
      </c>
      <c r="J32" s="164" t="str">
        <f t="shared" si="5"/>
        <v/>
      </c>
    </row>
    <row r="33">
      <c r="A33" s="61"/>
      <c r="B33" s="155"/>
      <c r="D33" s="61"/>
      <c r="E33" s="150"/>
      <c r="F33" s="150" t="str">
        <f t="shared" si="7"/>
        <v/>
      </c>
      <c r="G33" s="61"/>
      <c r="H33" s="167" t="str">
        <f t="shared" si="1"/>
        <v/>
      </c>
      <c r="I33" s="168" t="str">
        <f>IF(F33="","",(SUM(G27*F33)))</f>
        <v/>
      </c>
      <c r="J33" s="159" t="str">
        <f t="shared" si="5"/>
        <v/>
      </c>
    </row>
    <row r="34">
      <c r="A34" s="138"/>
      <c r="B34" s="160"/>
      <c r="D34" s="138"/>
      <c r="E34" s="161"/>
      <c r="F34" s="161" t="str">
        <f t="shared" si="7"/>
        <v/>
      </c>
      <c r="G34" s="138"/>
      <c r="H34" s="165" t="str">
        <f t="shared" si="1"/>
        <v/>
      </c>
      <c r="I34" s="166" t="str">
        <f>IF(F34="","",(SUM(G27*F34)))</f>
        <v/>
      </c>
      <c r="J34" s="164" t="str">
        <f t="shared" si="5"/>
        <v/>
      </c>
    </row>
    <row r="35">
      <c r="A35" s="169" t="s">
        <v>164</v>
      </c>
      <c r="B35" s="155">
        <v>45731.0</v>
      </c>
      <c r="C35" s="169" t="s">
        <v>46</v>
      </c>
      <c r="D35" s="169">
        <v>10640.0</v>
      </c>
      <c r="E35" s="170">
        <v>0.0</v>
      </c>
      <c r="F35" s="171">
        <f>D35-E35</f>
        <v>10640</v>
      </c>
      <c r="G35" s="172">
        <v>5100.0</v>
      </c>
      <c r="H35" s="157">
        <f t="shared" si="1"/>
        <v>0</v>
      </c>
      <c r="I35" s="173">
        <f>F35*G35</f>
        <v>54264000</v>
      </c>
      <c r="J35" s="174" t="str">
        <f t="shared" si="5"/>
        <v>Open</v>
      </c>
    </row>
    <row r="36">
      <c r="A36" s="94"/>
      <c r="B36" s="160"/>
      <c r="C36" s="94"/>
      <c r="D36" s="94"/>
      <c r="E36" s="175"/>
      <c r="F36" s="161" t="str">
        <f t="shared" ref="F36:F42" si="8">IF(E36="","",(SUM(F35-E36)))</f>
        <v/>
      </c>
      <c r="G36" s="94"/>
      <c r="H36" s="165" t="str">
        <f t="shared" si="1"/>
        <v/>
      </c>
      <c r="I36" s="175" t="str">
        <f>IF(F36="","",(SUM(G35*F36)))</f>
        <v/>
      </c>
      <c r="J36" s="175" t="str">
        <f t="shared" si="5"/>
        <v/>
      </c>
    </row>
    <row r="37">
      <c r="A37" s="61"/>
      <c r="B37" s="155"/>
      <c r="C37" s="61"/>
      <c r="D37" s="61"/>
      <c r="E37" s="176"/>
      <c r="F37" s="150" t="str">
        <f t="shared" si="8"/>
        <v/>
      </c>
      <c r="G37" s="61"/>
      <c r="H37" s="167" t="str">
        <f t="shared" si="1"/>
        <v/>
      </c>
      <c r="I37" s="176" t="str">
        <f>IF(F37="","",(SUM(G35*F37)))</f>
        <v/>
      </c>
      <c r="J37" s="176" t="str">
        <f t="shared" si="5"/>
        <v/>
      </c>
    </row>
    <row r="38">
      <c r="A38" s="94"/>
      <c r="B38" s="160"/>
      <c r="C38" s="94"/>
      <c r="D38" s="94"/>
      <c r="E38" s="175"/>
      <c r="F38" s="161" t="str">
        <f t="shared" si="8"/>
        <v/>
      </c>
      <c r="G38" s="94"/>
      <c r="H38" s="165" t="str">
        <f t="shared" si="1"/>
        <v/>
      </c>
      <c r="I38" s="175" t="str">
        <f>IF(F38="","",(SUM(G35*F38)))</f>
        <v/>
      </c>
      <c r="J38" s="175" t="str">
        <f t="shared" si="5"/>
        <v/>
      </c>
    </row>
    <row r="39">
      <c r="A39" s="61"/>
      <c r="B39" s="155"/>
      <c r="C39" s="61"/>
      <c r="D39" s="61"/>
      <c r="E39" s="176"/>
      <c r="F39" s="150" t="str">
        <f t="shared" si="8"/>
        <v/>
      </c>
      <c r="G39" s="61"/>
      <c r="H39" s="167" t="str">
        <f t="shared" si="1"/>
        <v/>
      </c>
      <c r="I39" s="176" t="str">
        <f>IF(F39="","",(SUM(G35*F39)))</f>
        <v/>
      </c>
      <c r="J39" s="176" t="str">
        <f t="shared" si="5"/>
        <v/>
      </c>
    </row>
    <row r="40">
      <c r="A40" s="94"/>
      <c r="B40" s="160"/>
      <c r="C40" s="94"/>
      <c r="D40" s="94"/>
      <c r="E40" s="175"/>
      <c r="F40" s="161" t="str">
        <f t="shared" si="8"/>
        <v/>
      </c>
      <c r="G40" s="94"/>
      <c r="H40" s="165" t="str">
        <f t="shared" si="1"/>
        <v/>
      </c>
      <c r="I40" s="175" t="str">
        <f>IF(F40="","",(SUM(G35*F40)))</f>
        <v/>
      </c>
      <c r="J40" s="175" t="str">
        <f t="shared" si="5"/>
        <v/>
      </c>
    </row>
    <row r="41">
      <c r="A41" s="61"/>
      <c r="B41" s="155"/>
      <c r="C41" s="61"/>
      <c r="D41" s="61"/>
      <c r="E41" s="176"/>
      <c r="F41" s="150" t="str">
        <f t="shared" si="8"/>
        <v/>
      </c>
      <c r="G41" s="61"/>
      <c r="H41" s="167" t="str">
        <f t="shared" si="1"/>
        <v/>
      </c>
      <c r="I41" s="176" t="str">
        <f>IF(F41="","",(SUM(G35*F41)))</f>
        <v/>
      </c>
      <c r="J41" s="176" t="str">
        <f t="shared" si="5"/>
        <v/>
      </c>
    </row>
    <row r="42">
      <c r="A42" s="138"/>
      <c r="B42" s="160"/>
      <c r="C42" s="138"/>
      <c r="D42" s="138"/>
      <c r="E42" s="175"/>
      <c r="F42" s="161" t="str">
        <f t="shared" si="8"/>
        <v/>
      </c>
      <c r="G42" s="138"/>
      <c r="H42" s="165" t="str">
        <f t="shared" si="1"/>
        <v/>
      </c>
      <c r="I42" s="175" t="str">
        <f>IF(F42="","",(SUM(G35*F42)))</f>
        <v/>
      </c>
      <c r="J42" s="175" t="str">
        <f t="shared" si="5"/>
        <v/>
      </c>
    </row>
    <row r="43">
      <c r="A43" s="177"/>
      <c r="B43" s="177"/>
      <c r="C43" s="177"/>
      <c r="D43" s="177"/>
      <c r="E43" s="177"/>
      <c r="F43" s="177"/>
      <c r="G43" s="177"/>
    </row>
    <row r="44">
      <c r="A44" s="177"/>
      <c r="B44" s="177"/>
      <c r="C44" s="177"/>
      <c r="D44" s="177"/>
      <c r="E44" s="177"/>
      <c r="F44" s="177"/>
      <c r="G44" s="177"/>
    </row>
    <row r="45">
      <c r="A45" s="152" t="s">
        <v>146</v>
      </c>
      <c r="B45" s="153" t="s">
        <v>147</v>
      </c>
      <c r="C45" s="152" t="s">
        <v>148</v>
      </c>
      <c r="D45" s="152" t="s">
        <v>149</v>
      </c>
      <c r="E45" s="153" t="s">
        <v>150</v>
      </c>
      <c r="F45" s="154" t="s">
        <v>112</v>
      </c>
      <c r="G45" s="153" t="s">
        <v>151</v>
      </c>
      <c r="H45" s="153" t="s">
        <v>159</v>
      </c>
      <c r="I45" s="153" t="s">
        <v>153</v>
      </c>
      <c r="J45" s="153" t="s">
        <v>154</v>
      </c>
    </row>
    <row r="46">
      <c r="A46" s="51" t="s">
        <v>165</v>
      </c>
      <c r="B46" s="155">
        <v>45757.0</v>
      </c>
      <c r="C46" s="51" t="s">
        <v>119</v>
      </c>
      <c r="D46" s="51">
        <v>50000.0</v>
      </c>
      <c r="E46" s="150">
        <v>0.0</v>
      </c>
      <c r="F46" s="150">
        <f>D46-E46</f>
        <v>50000</v>
      </c>
      <c r="G46" s="156">
        <v>7900.0</v>
      </c>
      <c r="H46" s="157">
        <f t="shared" ref="H46:H53" si="9">IF(E46="","",(SUM($G$3*E46)))</f>
        <v>0</v>
      </c>
      <c r="I46" s="158">
        <f>F46*G46</f>
        <v>395000000</v>
      </c>
      <c r="J46" s="159" t="str">
        <f>IF(OR(D46="",E46=""),"",IF(F46&lt;=0,"Closed","Open"))</f>
        <v>Open</v>
      </c>
    </row>
    <row r="47">
      <c r="A47" s="94"/>
      <c r="B47" s="160"/>
      <c r="C47" s="94"/>
      <c r="D47" s="94"/>
      <c r="E47" s="161"/>
      <c r="F47" s="161" t="str">
        <f t="shared" ref="F47:F53" si="10">IF(E47="","",(SUM(F46-E47)))</f>
        <v/>
      </c>
      <c r="G47" s="94"/>
      <c r="H47" s="165" t="str">
        <f t="shared" si="9"/>
        <v/>
      </c>
      <c r="I47" s="166" t="str">
        <f>IF(F47="","",(SUM(G46*F47)))</f>
        <v/>
      </c>
      <c r="J47" s="164" t="str">
        <f t="shared" ref="J47:J53" si="11">IF(OR(F47="",E47=""),"",IF(F47&lt;=0,"Closed","Open"))</f>
        <v/>
      </c>
    </row>
    <row r="48">
      <c r="A48" s="61"/>
      <c r="B48" s="155"/>
      <c r="C48" s="61"/>
      <c r="D48" s="61"/>
      <c r="E48" s="150"/>
      <c r="F48" s="150" t="str">
        <f t="shared" si="10"/>
        <v/>
      </c>
      <c r="G48" s="61"/>
      <c r="H48" s="167" t="str">
        <f t="shared" si="9"/>
        <v/>
      </c>
      <c r="I48" s="168" t="str">
        <f>IF(F48="","",(SUM(G46*F48)))</f>
        <v/>
      </c>
      <c r="J48" s="159" t="str">
        <f t="shared" si="11"/>
        <v/>
      </c>
    </row>
    <row r="49">
      <c r="A49" s="94"/>
      <c r="B49" s="160"/>
      <c r="C49" s="94"/>
      <c r="D49" s="94"/>
      <c r="E49" s="161"/>
      <c r="F49" s="161" t="str">
        <f t="shared" si="10"/>
        <v/>
      </c>
      <c r="G49" s="94"/>
      <c r="H49" s="165" t="str">
        <f t="shared" si="9"/>
        <v/>
      </c>
      <c r="I49" s="166" t="str">
        <f>IF(F49="","",(SUM(G46*F49)))</f>
        <v/>
      </c>
      <c r="J49" s="164" t="str">
        <f t="shared" si="11"/>
        <v/>
      </c>
    </row>
    <row r="50">
      <c r="A50" s="61"/>
      <c r="B50" s="155"/>
      <c r="C50" s="61"/>
      <c r="D50" s="61"/>
      <c r="E50" s="150"/>
      <c r="F50" s="150" t="str">
        <f t="shared" si="10"/>
        <v/>
      </c>
      <c r="G50" s="61"/>
      <c r="H50" s="167" t="str">
        <f t="shared" si="9"/>
        <v/>
      </c>
      <c r="I50" s="168" t="str">
        <f>IF(F50="","",(SUM(G46*F50)))</f>
        <v/>
      </c>
      <c r="J50" s="159" t="str">
        <f t="shared" si="11"/>
        <v/>
      </c>
    </row>
    <row r="51">
      <c r="A51" s="94"/>
      <c r="B51" s="160"/>
      <c r="C51" s="94"/>
      <c r="D51" s="94"/>
      <c r="E51" s="161"/>
      <c r="F51" s="161" t="str">
        <f t="shared" si="10"/>
        <v/>
      </c>
      <c r="G51" s="94"/>
      <c r="H51" s="165" t="str">
        <f t="shared" si="9"/>
        <v/>
      </c>
      <c r="I51" s="166" t="str">
        <f>IF(F51="","",(SUM(G46*F51)))</f>
        <v/>
      </c>
      <c r="J51" s="164" t="str">
        <f t="shared" si="11"/>
        <v/>
      </c>
    </row>
    <row r="52">
      <c r="A52" s="61"/>
      <c r="B52" s="155"/>
      <c r="C52" s="61"/>
      <c r="D52" s="61"/>
      <c r="E52" s="150"/>
      <c r="F52" s="150" t="str">
        <f t="shared" si="10"/>
        <v/>
      </c>
      <c r="G52" s="61"/>
      <c r="H52" s="167" t="str">
        <f t="shared" si="9"/>
        <v/>
      </c>
      <c r="I52" s="168" t="str">
        <f>IF(F52="","",(SUM(G46*F52)))</f>
        <v/>
      </c>
      <c r="J52" s="159" t="str">
        <f t="shared" si="11"/>
        <v/>
      </c>
    </row>
    <row r="53">
      <c r="A53" s="138"/>
      <c r="B53" s="160"/>
      <c r="C53" s="138"/>
      <c r="D53" s="138"/>
      <c r="E53" s="161"/>
      <c r="F53" s="161" t="str">
        <f t="shared" si="10"/>
        <v/>
      </c>
      <c r="G53" s="138"/>
      <c r="H53" s="165" t="str">
        <f t="shared" si="9"/>
        <v/>
      </c>
      <c r="I53" s="166" t="str">
        <f>IF(F53="","",(SUM(G46*F53)))</f>
        <v/>
      </c>
      <c r="J53" s="164" t="str">
        <f t="shared" si="11"/>
        <v/>
      </c>
    </row>
    <row r="56">
      <c r="A56" s="152" t="s">
        <v>146</v>
      </c>
      <c r="B56" s="153" t="s">
        <v>147</v>
      </c>
      <c r="C56" s="152" t="s">
        <v>148</v>
      </c>
      <c r="D56" s="152" t="s">
        <v>149</v>
      </c>
      <c r="E56" s="153" t="s">
        <v>150</v>
      </c>
      <c r="F56" s="154" t="s">
        <v>112</v>
      </c>
      <c r="G56" s="153" t="s">
        <v>151</v>
      </c>
      <c r="H56" s="153" t="s">
        <v>159</v>
      </c>
      <c r="I56" s="153" t="s">
        <v>153</v>
      </c>
      <c r="J56" s="153" t="s">
        <v>154</v>
      </c>
    </row>
    <row r="57">
      <c r="A57" s="51" t="s">
        <v>166</v>
      </c>
      <c r="B57" s="155">
        <v>45761.0</v>
      </c>
      <c r="C57" s="51" t="s">
        <v>88</v>
      </c>
      <c r="D57" s="51">
        <v>50000.0</v>
      </c>
      <c r="E57" s="150">
        <v>0.0</v>
      </c>
      <c r="F57" s="150">
        <f>D57-E57</f>
        <v>50000</v>
      </c>
      <c r="G57" s="156">
        <v>4200.0</v>
      </c>
      <c r="H57" s="157">
        <f t="shared" ref="H57:H72" si="12">IF(E57="","",(SUM($G$3*E57)))</f>
        <v>0</v>
      </c>
      <c r="I57" s="158">
        <f>F57*G57</f>
        <v>210000000</v>
      </c>
      <c r="J57" s="159" t="str">
        <f>IF(OR(D57="",E57=""),"",IF(F57&lt;=0,"Closed","Open"))</f>
        <v>Open</v>
      </c>
    </row>
    <row r="58">
      <c r="A58" s="94"/>
      <c r="B58" s="160"/>
      <c r="C58" s="94"/>
      <c r="D58" s="94"/>
      <c r="E58" s="161"/>
      <c r="F58" s="161" t="str">
        <f t="shared" ref="F58:F64" si="13">IF(E58="","",(SUM(F57-E58)))</f>
        <v/>
      </c>
      <c r="G58" s="94"/>
      <c r="H58" s="165" t="str">
        <f t="shared" si="12"/>
        <v/>
      </c>
      <c r="I58" s="166" t="str">
        <f>IF(F58="","",(SUM(G57*F58)))</f>
        <v/>
      </c>
      <c r="J58" s="164" t="str">
        <f t="shared" ref="J58:J64" si="14">IF(OR(F58="",E58=""),"",IF(F58&lt;=0,"Closed","Open"))</f>
        <v/>
      </c>
    </row>
    <row r="59">
      <c r="A59" s="61"/>
      <c r="B59" s="155"/>
      <c r="C59" s="61"/>
      <c r="D59" s="61"/>
      <c r="E59" s="150"/>
      <c r="F59" s="150" t="str">
        <f t="shared" si="13"/>
        <v/>
      </c>
      <c r="G59" s="61"/>
      <c r="H59" s="167" t="str">
        <f t="shared" si="12"/>
        <v/>
      </c>
      <c r="I59" s="168" t="str">
        <f>IF(F59="","",(SUM(G57*F59)))</f>
        <v/>
      </c>
      <c r="J59" s="159" t="str">
        <f t="shared" si="14"/>
        <v/>
      </c>
    </row>
    <row r="60">
      <c r="A60" s="94"/>
      <c r="B60" s="160"/>
      <c r="C60" s="94"/>
      <c r="D60" s="94"/>
      <c r="E60" s="161"/>
      <c r="F60" s="161" t="str">
        <f t="shared" si="13"/>
        <v/>
      </c>
      <c r="G60" s="94"/>
      <c r="H60" s="165" t="str">
        <f t="shared" si="12"/>
        <v/>
      </c>
      <c r="I60" s="166" t="str">
        <f>IF(F60="","",(SUM(G57*F60)))</f>
        <v/>
      </c>
      <c r="J60" s="164" t="str">
        <f t="shared" si="14"/>
        <v/>
      </c>
    </row>
    <row r="61">
      <c r="A61" s="61"/>
      <c r="B61" s="155"/>
      <c r="C61" s="61"/>
      <c r="D61" s="61"/>
      <c r="E61" s="150"/>
      <c r="F61" s="150" t="str">
        <f t="shared" si="13"/>
        <v/>
      </c>
      <c r="G61" s="61"/>
      <c r="H61" s="167" t="str">
        <f t="shared" si="12"/>
        <v/>
      </c>
      <c r="I61" s="168" t="str">
        <f>IF(F61="","",(SUM(G57*F61)))</f>
        <v/>
      </c>
      <c r="J61" s="159" t="str">
        <f t="shared" si="14"/>
        <v/>
      </c>
    </row>
    <row r="62">
      <c r="A62" s="94"/>
      <c r="B62" s="160"/>
      <c r="C62" s="94"/>
      <c r="D62" s="94"/>
      <c r="E62" s="161"/>
      <c r="F62" s="161" t="str">
        <f t="shared" si="13"/>
        <v/>
      </c>
      <c r="G62" s="94"/>
      <c r="H62" s="165" t="str">
        <f t="shared" si="12"/>
        <v/>
      </c>
      <c r="I62" s="166" t="str">
        <f>IF(F62="","",(SUM(G57*F62)))</f>
        <v/>
      </c>
      <c r="J62" s="164" t="str">
        <f t="shared" si="14"/>
        <v/>
      </c>
    </row>
    <row r="63">
      <c r="A63" s="61"/>
      <c r="B63" s="155"/>
      <c r="C63" s="61"/>
      <c r="D63" s="61"/>
      <c r="E63" s="150"/>
      <c r="F63" s="150" t="str">
        <f t="shared" si="13"/>
        <v/>
      </c>
      <c r="G63" s="61"/>
      <c r="H63" s="167" t="str">
        <f t="shared" si="12"/>
        <v/>
      </c>
      <c r="I63" s="168" t="str">
        <f>IF(F63="","",(SUM(G57*F63)))</f>
        <v/>
      </c>
      <c r="J63" s="159" t="str">
        <f t="shared" si="14"/>
        <v/>
      </c>
    </row>
    <row r="64">
      <c r="A64" s="138"/>
      <c r="B64" s="160"/>
      <c r="C64" s="138"/>
      <c r="D64" s="138"/>
      <c r="E64" s="161"/>
      <c r="F64" s="161" t="str">
        <f t="shared" si="13"/>
        <v/>
      </c>
      <c r="G64" s="138"/>
      <c r="H64" s="165" t="str">
        <f t="shared" si="12"/>
        <v/>
      </c>
      <c r="I64" s="166" t="str">
        <f>IF(F64="","",(SUM(G57*F64)))</f>
        <v/>
      </c>
      <c r="J64" s="164" t="str">
        <f t="shared" si="14"/>
        <v/>
      </c>
    </row>
    <row r="65">
      <c r="A65" s="51" t="s">
        <v>167</v>
      </c>
      <c r="B65" s="155">
        <v>45733.0</v>
      </c>
      <c r="C65" s="51" t="s">
        <v>88</v>
      </c>
      <c r="D65" s="51">
        <v>75000.0</v>
      </c>
      <c r="E65" s="150">
        <v>0.0</v>
      </c>
      <c r="F65" s="150">
        <f>D65</f>
        <v>75000</v>
      </c>
      <c r="G65" s="156">
        <v>4200.0</v>
      </c>
      <c r="H65" s="157">
        <f t="shared" si="12"/>
        <v>0</v>
      </c>
      <c r="I65" s="158">
        <f>F65*G65</f>
        <v>315000000</v>
      </c>
      <c r="J65" s="159" t="str">
        <f>IF(OR(D65="",E65=""),"",IF(F65&lt;=0,"Closed","Open"))</f>
        <v>Open</v>
      </c>
    </row>
    <row r="66">
      <c r="A66" s="94"/>
      <c r="B66" s="160"/>
      <c r="C66" s="94"/>
      <c r="D66" s="94"/>
      <c r="E66" s="161"/>
      <c r="F66" s="161" t="str">
        <f t="shared" ref="F66:F72" si="15">IF(E66="","",(SUM(F65-E66)))</f>
        <v/>
      </c>
      <c r="G66" s="94"/>
      <c r="H66" s="165" t="str">
        <f t="shared" si="12"/>
        <v/>
      </c>
      <c r="I66" s="166" t="str">
        <f>IF(F66="","",(SUM(G65*F66)))</f>
        <v/>
      </c>
      <c r="J66" s="164" t="str">
        <f t="shared" ref="J66:J72" si="16">IF(OR(F66="",E66=""),"",IF(F66&lt;=0,"Closed","Open"))</f>
        <v/>
      </c>
    </row>
    <row r="67">
      <c r="A67" s="61"/>
      <c r="B67" s="155"/>
      <c r="C67" s="61"/>
      <c r="D67" s="61"/>
      <c r="E67" s="150"/>
      <c r="F67" s="150" t="str">
        <f t="shared" si="15"/>
        <v/>
      </c>
      <c r="G67" s="61"/>
      <c r="H67" s="167" t="str">
        <f t="shared" si="12"/>
        <v/>
      </c>
      <c r="I67" s="168" t="str">
        <f>IF(F67="","",(SUM(G65*F67)))</f>
        <v/>
      </c>
      <c r="J67" s="159" t="str">
        <f t="shared" si="16"/>
        <v/>
      </c>
    </row>
    <row r="68">
      <c r="A68" s="94"/>
      <c r="B68" s="160"/>
      <c r="C68" s="94"/>
      <c r="D68" s="94"/>
      <c r="E68" s="161"/>
      <c r="F68" s="161" t="str">
        <f t="shared" si="15"/>
        <v/>
      </c>
      <c r="G68" s="94"/>
      <c r="H68" s="165" t="str">
        <f t="shared" si="12"/>
        <v/>
      </c>
      <c r="I68" s="166" t="str">
        <f>IF(F68="","",(SUM(G65*F68)))</f>
        <v/>
      </c>
      <c r="J68" s="164" t="str">
        <f t="shared" si="16"/>
        <v/>
      </c>
    </row>
    <row r="69">
      <c r="A69" s="61"/>
      <c r="B69" s="155"/>
      <c r="C69" s="61"/>
      <c r="D69" s="61"/>
      <c r="E69" s="150"/>
      <c r="F69" s="150" t="str">
        <f t="shared" si="15"/>
        <v/>
      </c>
      <c r="G69" s="61"/>
      <c r="H69" s="167" t="str">
        <f t="shared" si="12"/>
        <v/>
      </c>
      <c r="I69" s="168" t="str">
        <f>IF(F69="","",(SUM(G65*F69)))</f>
        <v/>
      </c>
      <c r="J69" s="159" t="str">
        <f t="shared" si="16"/>
        <v/>
      </c>
    </row>
    <row r="70">
      <c r="A70" s="94"/>
      <c r="B70" s="160"/>
      <c r="C70" s="94"/>
      <c r="D70" s="94"/>
      <c r="E70" s="161"/>
      <c r="F70" s="161" t="str">
        <f t="shared" si="15"/>
        <v/>
      </c>
      <c r="G70" s="94"/>
      <c r="H70" s="165" t="str">
        <f t="shared" si="12"/>
        <v/>
      </c>
      <c r="I70" s="166" t="str">
        <f>IF(F70="","",(SUM(G65*F70)))</f>
        <v/>
      </c>
      <c r="J70" s="164" t="str">
        <f t="shared" si="16"/>
        <v/>
      </c>
    </row>
    <row r="71">
      <c r="A71" s="61"/>
      <c r="B71" s="155"/>
      <c r="C71" s="61"/>
      <c r="D71" s="61"/>
      <c r="E71" s="150"/>
      <c r="F71" s="150" t="str">
        <f t="shared" si="15"/>
        <v/>
      </c>
      <c r="G71" s="61"/>
      <c r="H71" s="167" t="str">
        <f t="shared" si="12"/>
        <v/>
      </c>
      <c r="I71" s="168" t="str">
        <f>IF(F71="","",(SUM(G65*F71)))</f>
        <v/>
      </c>
      <c r="J71" s="159" t="str">
        <f t="shared" si="16"/>
        <v/>
      </c>
    </row>
    <row r="72">
      <c r="A72" s="138"/>
      <c r="B72" s="160"/>
      <c r="C72" s="138"/>
      <c r="D72" s="138"/>
      <c r="E72" s="161"/>
      <c r="F72" s="161" t="str">
        <f t="shared" si="15"/>
        <v/>
      </c>
      <c r="G72" s="138"/>
      <c r="H72" s="165" t="str">
        <f t="shared" si="12"/>
        <v/>
      </c>
      <c r="I72" s="166" t="str">
        <f>IF(F72="","",(SUM(G65*F72)))</f>
        <v/>
      </c>
      <c r="J72" s="164" t="str">
        <f t="shared" si="16"/>
        <v/>
      </c>
    </row>
    <row r="74">
      <c r="A74" s="152" t="s">
        <v>146</v>
      </c>
      <c r="B74" s="153" t="s">
        <v>147</v>
      </c>
      <c r="C74" s="152" t="s">
        <v>148</v>
      </c>
      <c r="D74" s="152" t="s">
        <v>149</v>
      </c>
      <c r="E74" s="153" t="s">
        <v>150</v>
      </c>
      <c r="F74" s="154" t="s">
        <v>112</v>
      </c>
      <c r="G74" s="153" t="s">
        <v>151</v>
      </c>
      <c r="H74" s="153" t="s">
        <v>159</v>
      </c>
      <c r="I74" s="153" t="s">
        <v>153</v>
      </c>
      <c r="J74" s="153" t="s">
        <v>154</v>
      </c>
    </row>
    <row r="75">
      <c r="A75" s="51" t="s">
        <v>168</v>
      </c>
      <c r="B75" s="155">
        <v>45786.0</v>
      </c>
      <c r="C75" s="51" t="s">
        <v>169</v>
      </c>
      <c r="D75" s="51">
        <v>50000.0</v>
      </c>
      <c r="E75" s="150">
        <v>0.0</v>
      </c>
      <c r="F75" s="150">
        <f>D75-E75</f>
        <v>50000</v>
      </c>
      <c r="G75" s="156">
        <v>5100.0</v>
      </c>
      <c r="H75" s="157">
        <f t="shared" ref="H75:H98" si="17">IF(E75="","",(SUM($G$3*E75)))</f>
        <v>0</v>
      </c>
      <c r="I75" s="158">
        <f>F75*G75</f>
        <v>255000000</v>
      </c>
      <c r="J75" s="159" t="str">
        <f>IF(OR(D75="",E75=""),"",IF(F75&lt;=0,"Closed","Open"))</f>
        <v>Open</v>
      </c>
    </row>
    <row r="76">
      <c r="A76" s="94"/>
      <c r="B76" s="160"/>
      <c r="C76" s="94"/>
      <c r="D76" s="94"/>
      <c r="E76" s="161"/>
      <c r="F76" s="161" t="str">
        <f t="shared" ref="F76:F82" si="18">IF(E76="","",(SUM(F75-E76)))</f>
        <v/>
      </c>
      <c r="G76" s="94"/>
      <c r="H76" s="165" t="str">
        <f t="shared" si="17"/>
        <v/>
      </c>
      <c r="I76" s="166" t="str">
        <f>IF(F76="","",(SUM(G75*F76)))</f>
        <v/>
      </c>
      <c r="J76" s="164" t="str">
        <f t="shared" ref="J76:J82" si="19">IF(OR(F76="",E76=""),"",IF(F76&lt;=0,"Closed","Open"))</f>
        <v/>
      </c>
    </row>
    <row r="77">
      <c r="A77" s="61"/>
      <c r="B77" s="155"/>
      <c r="C77" s="61"/>
      <c r="D77" s="61"/>
      <c r="E77" s="150"/>
      <c r="F77" s="150" t="str">
        <f t="shared" si="18"/>
        <v/>
      </c>
      <c r="G77" s="61"/>
      <c r="H77" s="167" t="str">
        <f t="shared" si="17"/>
        <v/>
      </c>
      <c r="I77" s="168" t="str">
        <f>IF(F77="","",(SUM(G75*F77)))</f>
        <v/>
      </c>
      <c r="J77" s="159" t="str">
        <f t="shared" si="19"/>
        <v/>
      </c>
    </row>
    <row r="78">
      <c r="A78" s="94"/>
      <c r="B78" s="160"/>
      <c r="C78" s="94"/>
      <c r="D78" s="94"/>
      <c r="E78" s="161"/>
      <c r="F78" s="161" t="str">
        <f t="shared" si="18"/>
        <v/>
      </c>
      <c r="G78" s="94"/>
      <c r="H78" s="165" t="str">
        <f t="shared" si="17"/>
        <v/>
      </c>
      <c r="I78" s="166" t="str">
        <f>IF(F78="","",(SUM(G75*F78)))</f>
        <v/>
      </c>
      <c r="J78" s="164" t="str">
        <f t="shared" si="19"/>
        <v/>
      </c>
    </row>
    <row r="79">
      <c r="A79" s="61"/>
      <c r="B79" s="155"/>
      <c r="C79" s="61"/>
      <c r="D79" s="61"/>
      <c r="E79" s="150"/>
      <c r="F79" s="150" t="str">
        <f t="shared" si="18"/>
        <v/>
      </c>
      <c r="G79" s="61"/>
      <c r="H79" s="167" t="str">
        <f t="shared" si="17"/>
        <v/>
      </c>
      <c r="I79" s="168" t="str">
        <f>IF(F79="","",(SUM(G75*F79)))</f>
        <v/>
      </c>
      <c r="J79" s="159" t="str">
        <f t="shared" si="19"/>
        <v/>
      </c>
    </row>
    <row r="80">
      <c r="A80" s="94"/>
      <c r="B80" s="160"/>
      <c r="C80" s="94"/>
      <c r="D80" s="94"/>
      <c r="E80" s="161"/>
      <c r="F80" s="161" t="str">
        <f t="shared" si="18"/>
        <v/>
      </c>
      <c r="G80" s="94"/>
      <c r="H80" s="165" t="str">
        <f t="shared" si="17"/>
        <v/>
      </c>
      <c r="I80" s="166" t="str">
        <f>IF(F80="","",(SUM(G75*F80)))</f>
        <v/>
      </c>
      <c r="J80" s="164" t="str">
        <f t="shared" si="19"/>
        <v/>
      </c>
    </row>
    <row r="81">
      <c r="A81" s="61"/>
      <c r="B81" s="155"/>
      <c r="C81" s="61"/>
      <c r="D81" s="61"/>
      <c r="E81" s="150"/>
      <c r="F81" s="150" t="str">
        <f t="shared" si="18"/>
        <v/>
      </c>
      <c r="G81" s="61"/>
      <c r="H81" s="167" t="str">
        <f t="shared" si="17"/>
        <v/>
      </c>
      <c r="I81" s="168" t="str">
        <f>IF(F81="","",(SUM(G75*F81)))</f>
        <v/>
      </c>
      <c r="J81" s="159" t="str">
        <f t="shared" si="19"/>
        <v/>
      </c>
    </row>
    <row r="82">
      <c r="A82" s="138"/>
      <c r="B82" s="160"/>
      <c r="C82" s="138"/>
      <c r="D82" s="138"/>
      <c r="E82" s="161"/>
      <c r="F82" s="161" t="str">
        <f t="shared" si="18"/>
        <v/>
      </c>
      <c r="G82" s="138"/>
      <c r="H82" s="165" t="str">
        <f t="shared" si="17"/>
        <v/>
      </c>
      <c r="I82" s="166" t="str">
        <f>IF(F82="","",(SUM(G75*F82)))</f>
        <v/>
      </c>
      <c r="J82" s="164" t="str">
        <f t="shared" si="19"/>
        <v/>
      </c>
    </row>
    <row r="83">
      <c r="A83" s="51" t="s">
        <v>170</v>
      </c>
      <c r="B83" s="155">
        <v>45786.0</v>
      </c>
      <c r="C83" s="51" t="s">
        <v>69</v>
      </c>
      <c r="D83" s="51">
        <v>35000.0</v>
      </c>
      <c r="E83" s="150">
        <v>0.0</v>
      </c>
      <c r="F83" s="150">
        <f>D83</f>
        <v>35000</v>
      </c>
      <c r="G83" s="156">
        <v>2300.0</v>
      </c>
      <c r="H83" s="157">
        <f t="shared" si="17"/>
        <v>0</v>
      </c>
      <c r="I83" s="158">
        <f>F83*G83</f>
        <v>80500000</v>
      </c>
      <c r="J83" s="159" t="str">
        <f>IF(OR(D83="",E83=""),"",IF(F83&lt;=0,"Closed","Open"))</f>
        <v>Open</v>
      </c>
    </row>
    <row r="84">
      <c r="A84" s="94"/>
      <c r="B84" s="160"/>
      <c r="C84" s="94"/>
      <c r="D84" s="94"/>
      <c r="E84" s="161"/>
      <c r="F84" s="161" t="str">
        <f t="shared" ref="F84:F90" si="20">IF(E84="","",(SUM(F83-E84)))</f>
        <v/>
      </c>
      <c r="G84" s="94"/>
      <c r="H84" s="165" t="str">
        <f t="shared" si="17"/>
        <v/>
      </c>
      <c r="I84" s="166" t="str">
        <f>IF(F84="","",(SUM(G83*F84)))</f>
        <v/>
      </c>
      <c r="J84" s="164" t="str">
        <f t="shared" ref="J84:J90" si="21">IF(OR(F84="",E84=""),"",IF(F84&lt;=0,"Closed","Open"))</f>
        <v/>
      </c>
    </row>
    <row r="85">
      <c r="A85" s="61"/>
      <c r="B85" s="155"/>
      <c r="C85" s="61"/>
      <c r="D85" s="61"/>
      <c r="E85" s="150"/>
      <c r="F85" s="150" t="str">
        <f t="shared" si="20"/>
        <v/>
      </c>
      <c r="G85" s="61"/>
      <c r="H85" s="167" t="str">
        <f t="shared" si="17"/>
        <v/>
      </c>
      <c r="I85" s="168" t="str">
        <f>IF(F85="","",(SUM(G83*F85)))</f>
        <v/>
      </c>
      <c r="J85" s="159" t="str">
        <f t="shared" si="21"/>
        <v/>
      </c>
    </row>
    <row r="86">
      <c r="A86" s="94"/>
      <c r="B86" s="160"/>
      <c r="C86" s="94"/>
      <c r="D86" s="94"/>
      <c r="E86" s="161"/>
      <c r="F86" s="161" t="str">
        <f t="shared" si="20"/>
        <v/>
      </c>
      <c r="G86" s="94"/>
      <c r="H86" s="165" t="str">
        <f t="shared" si="17"/>
        <v/>
      </c>
      <c r="I86" s="166" t="str">
        <f>IF(F86="","",(SUM(G83*F86)))</f>
        <v/>
      </c>
      <c r="J86" s="164" t="str">
        <f t="shared" si="21"/>
        <v/>
      </c>
    </row>
    <row r="87">
      <c r="A87" s="61"/>
      <c r="B87" s="155"/>
      <c r="C87" s="61"/>
      <c r="D87" s="61"/>
      <c r="E87" s="150"/>
      <c r="F87" s="150" t="str">
        <f t="shared" si="20"/>
        <v/>
      </c>
      <c r="G87" s="61"/>
      <c r="H87" s="167" t="str">
        <f t="shared" si="17"/>
        <v/>
      </c>
      <c r="I87" s="168" t="str">
        <f>IF(F87="","",(SUM(G83*F87)))</f>
        <v/>
      </c>
      <c r="J87" s="159" t="str">
        <f t="shared" si="21"/>
        <v/>
      </c>
    </row>
    <row r="88">
      <c r="A88" s="94"/>
      <c r="B88" s="160"/>
      <c r="C88" s="94"/>
      <c r="D88" s="94"/>
      <c r="E88" s="161"/>
      <c r="F88" s="161" t="str">
        <f t="shared" si="20"/>
        <v/>
      </c>
      <c r="G88" s="94"/>
      <c r="H88" s="165" t="str">
        <f t="shared" si="17"/>
        <v/>
      </c>
      <c r="I88" s="166" t="str">
        <f>IF(F88="","",(SUM(G83*F88)))</f>
        <v/>
      </c>
      <c r="J88" s="164" t="str">
        <f t="shared" si="21"/>
        <v/>
      </c>
    </row>
    <row r="89">
      <c r="A89" s="61"/>
      <c r="B89" s="155"/>
      <c r="C89" s="61"/>
      <c r="D89" s="61"/>
      <c r="E89" s="150"/>
      <c r="F89" s="150" t="str">
        <f t="shared" si="20"/>
        <v/>
      </c>
      <c r="G89" s="61"/>
      <c r="H89" s="167" t="str">
        <f t="shared" si="17"/>
        <v/>
      </c>
      <c r="I89" s="168" t="str">
        <f>IF(F89="","",(SUM(G83*F89)))</f>
        <v/>
      </c>
      <c r="J89" s="159" t="str">
        <f t="shared" si="21"/>
        <v/>
      </c>
    </row>
    <row r="90">
      <c r="A90" s="138"/>
      <c r="B90" s="160"/>
      <c r="C90" s="138"/>
      <c r="D90" s="138"/>
      <c r="E90" s="161"/>
      <c r="F90" s="161" t="str">
        <f t="shared" si="20"/>
        <v/>
      </c>
      <c r="G90" s="138"/>
      <c r="H90" s="165" t="str">
        <f t="shared" si="17"/>
        <v/>
      </c>
      <c r="I90" s="166" t="str">
        <f>IF(F90="","",(SUM(G83*F90)))</f>
        <v/>
      </c>
      <c r="J90" s="164" t="str">
        <f t="shared" si="21"/>
        <v/>
      </c>
    </row>
    <row r="91">
      <c r="A91" s="51" t="s">
        <v>171</v>
      </c>
      <c r="B91" s="155">
        <v>45786.0</v>
      </c>
      <c r="C91" s="51" t="s">
        <v>65</v>
      </c>
      <c r="D91" s="51">
        <v>50000.0</v>
      </c>
      <c r="E91" s="150">
        <v>0.0</v>
      </c>
      <c r="F91" s="150">
        <f>D91</f>
        <v>50000</v>
      </c>
      <c r="G91" s="156">
        <v>4100.0</v>
      </c>
      <c r="H91" s="157">
        <f t="shared" si="17"/>
        <v>0</v>
      </c>
      <c r="I91" s="158">
        <f>F91*G91</f>
        <v>205000000</v>
      </c>
      <c r="J91" s="159" t="str">
        <f>IF(OR(D91="",E91=""),"",IF(F91&lt;=0,"Closed","Open"))</f>
        <v>Open</v>
      </c>
    </row>
    <row r="92">
      <c r="A92" s="94"/>
      <c r="B92" s="160"/>
      <c r="C92" s="94"/>
      <c r="D92" s="94"/>
      <c r="E92" s="161"/>
      <c r="F92" s="161" t="str">
        <f t="shared" ref="F92:F98" si="22">IF(E92="","",(SUM(F91-E92)))</f>
        <v/>
      </c>
      <c r="G92" s="94"/>
      <c r="H92" s="165" t="str">
        <f t="shared" si="17"/>
        <v/>
      </c>
      <c r="I92" s="166" t="str">
        <f>IF(F92="","",(SUM(G91*F92)))</f>
        <v/>
      </c>
      <c r="J92" s="164" t="str">
        <f t="shared" ref="J92:J98" si="23">IF(OR(F92="",E92=""),"",IF(F92&lt;=0,"Closed","Open"))</f>
        <v/>
      </c>
    </row>
    <row r="93">
      <c r="A93" s="61"/>
      <c r="B93" s="155"/>
      <c r="C93" s="61"/>
      <c r="D93" s="61"/>
      <c r="E93" s="150"/>
      <c r="F93" s="150" t="str">
        <f t="shared" si="22"/>
        <v/>
      </c>
      <c r="G93" s="61"/>
      <c r="H93" s="167" t="str">
        <f t="shared" si="17"/>
        <v/>
      </c>
      <c r="I93" s="168" t="str">
        <f>IF(F93="","",(SUM(G91*F93)))</f>
        <v/>
      </c>
      <c r="J93" s="159" t="str">
        <f t="shared" si="23"/>
        <v/>
      </c>
    </row>
    <row r="94">
      <c r="A94" s="94"/>
      <c r="B94" s="160"/>
      <c r="C94" s="94"/>
      <c r="D94" s="94"/>
      <c r="E94" s="161"/>
      <c r="F94" s="161" t="str">
        <f t="shared" si="22"/>
        <v/>
      </c>
      <c r="G94" s="94"/>
      <c r="H94" s="165" t="str">
        <f t="shared" si="17"/>
        <v/>
      </c>
      <c r="I94" s="166" t="str">
        <f>IF(F94="","",(SUM(G91*F94)))</f>
        <v/>
      </c>
      <c r="J94" s="164" t="str">
        <f t="shared" si="23"/>
        <v/>
      </c>
    </row>
    <row r="95">
      <c r="A95" s="61"/>
      <c r="B95" s="155"/>
      <c r="C95" s="61"/>
      <c r="D95" s="61"/>
      <c r="E95" s="150"/>
      <c r="F95" s="150" t="str">
        <f t="shared" si="22"/>
        <v/>
      </c>
      <c r="G95" s="61"/>
      <c r="H95" s="167" t="str">
        <f t="shared" si="17"/>
        <v/>
      </c>
      <c r="I95" s="168" t="str">
        <f>IF(F95="","",(SUM(G91*F95)))</f>
        <v/>
      </c>
      <c r="J95" s="159" t="str">
        <f t="shared" si="23"/>
        <v/>
      </c>
    </row>
    <row r="96">
      <c r="A96" s="94"/>
      <c r="B96" s="160"/>
      <c r="C96" s="94"/>
      <c r="D96" s="94"/>
      <c r="E96" s="161"/>
      <c r="F96" s="161" t="str">
        <f t="shared" si="22"/>
        <v/>
      </c>
      <c r="G96" s="94"/>
      <c r="H96" s="165" t="str">
        <f t="shared" si="17"/>
        <v/>
      </c>
      <c r="I96" s="166" t="str">
        <f>IF(F96="","",(SUM(G91*F96)))</f>
        <v/>
      </c>
      <c r="J96" s="164" t="str">
        <f t="shared" si="23"/>
        <v/>
      </c>
    </row>
    <row r="97">
      <c r="A97" s="61"/>
      <c r="B97" s="155"/>
      <c r="C97" s="61"/>
      <c r="D97" s="61"/>
      <c r="E97" s="150"/>
      <c r="F97" s="150" t="str">
        <f t="shared" si="22"/>
        <v/>
      </c>
      <c r="G97" s="61"/>
      <c r="H97" s="167" t="str">
        <f t="shared" si="17"/>
        <v/>
      </c>
      <c r="I97" s="168" t="str">
        <f>IF(F97="","",(SUM(G91*F97)))</f>
        <v/>
      </c>
      <c r="J97" s="159" t="str">
        <f t="shared" si="23"/>
        <v/>
      </c>
    </row>
    <row r="98">
      <c r="A98" s="138"/>
      <c r="B98" s="160"/>
      <c r="C98" s="138"/>
      <c r="D98" s="138"/>
      <c r="E98" s="161"/>
      <c r="F98" s="161" t="str">
        <f t="shared" si="22"/>
        <v/>
      </c>
      <c r="G98" s="138"/>
      <c r="H98" s="165" t="str">
        <f t="shared" si="17"/>
        <v/>
      </c>
      <c r="I98" s="166" t="str">
        <f>IF(F98="","",(SUM(G91*F98)))</f>
        <v/>
      </c>
      <c r="J98" s="164" t="str">
        <f t="shared" si="23"/>
        <v/>
      </c>
    </row>
  </sheetData>
  <mergeCells count="45">
    <mergeCell ref="D19:D26"/>
    <mergeCell ref="G19:G26"/>
    <mergeCell ref="A1:J1"/>
    <mergeCell ref="A3:A10"/>
    <mergeCell ref="C3:C10"/>
    <mergeCell ref="D3:D10"/>
    <mergeCell ref="A11:A18"/>
    <mergeCell ref="D11:D18"/>
    <mergeCell ref="A19:A26"/>
    <mergeCell ref="C11:C18"/>
    <mergeCell ref="C19:C26"/>
    <mergeCell ref="A27:A34"/>
    <mergeCell ref="C27:C34"/>
    <mergeCell ref="D27:D34"/>
    <mergeCell ref="C35:C42"/>
    <mergeCell ref="D35:D42"/>
    <mergeCell ref="C57:C64"/>
    <mergeCell ref="C65:C72"/>
    <mergeCell ref="C75:C82"/>
    <mergeCell ref="D75:D82"/>
    <mergeCell ref="C83:C90"/>
    <mergeCell ref="D83:D90"/>
    <mergeCell ref="C91:C98"/>
    <mergeCell ref="D91:D98"/>
    <mergeCell ref="A65:A72"/>
    <mergeCell ref="A75:A82"/>
    <mergeCell ref="A83:A90"/>
    <mergeCell ref="A91:A98"/>
    <mergeCell ref="A35:A42"/>
    <mergeCell ref="A46:A53"/>
    <mergeCell ref="C46:C53"/>
    <mergeCell ref="D46:D53"/>
    <mergeCell ref="A57:A64"/>
    <mergeCell ref="D57:D64"/>
    <mergeCell ref="D65:D72"/>
    <mergeCell ref="G75:G82"/>
    <mergeCell ref="G83:G90"/>
    <mergeCell ref="G91:G98"/>
    <mergeCell ref="G3:G10"/>
    <mergeCell ref="G11:G18"/>
    <mergeCell ref="G27:G34"/>
    <mergeCell ref="G35:G42"/>
    <mergeCell ref="G46:G53"/>
    <mergeCell ref="G57:G64"/>
    <mergeCell ref="G65:G72"/>
  </mergeCells>
  <conditionalFormatting sqref="H3:H42 I3:J34 H46:J53 H57:J98">
    <cfRule type="cellIs" dxfId="6" priority="1" operator="equal">
      <formula>"Open"</formula>
    </cfRule>
  </conditionalFormatting>
  <conditionalFormatting sqref="H3:H42 I3:J34 H46:J53 H57:J98">
    <cfRule type="cellIs" dxfId="7" priority="2" operator="equal">
      <formula>"Closed"</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13"/>
    <col customWidth="1" min="8" max="8" width="31.38"/>
    <col customWidth="1" min="9" max="9" width="21.75"/>
  </cols>
  <sheetData>
    <row r="1">
      <c r="A1" s="39" t="s">
        <v>172</v>
      </c>
      <c r="K1" s="178"/>
      <c r="L1" s="178"/>
      <c r="M1" s="178"/>
      <c r="N1" s="178"/>
      <c r="O1" s="178"/>
      <c r="P1" s="178"/>
      <c r="Q1" s="178"/>
      <c r="R1" s="178"/>
      <c r="S1" s="178"/>
      <c r="T1" s="178"/>
      <c r="U1" s="178"/>
      <c r="V1" s="178"/>
      <c r="W1" s="178"/>
      <c r="X1" s="178"/>
      <c r="Y1" s="178"/>
      <c r="Z1" s="178"/>
      <c r="AA1" s="178"/>
    </row>
    <row r="2">
      <c r="A2" s="152" t="s">
        <v>146</v>
      </c>
      <c r="B2" s="179" t="s">
        <v>147</v>
      </c>
      <c r="C2" s="152" t="s">
        <v>148</v>
      </c>
      <c r="D2" s="152" t="s">
        <v>149</v>
      </c>
      <c r="E2" s="179" t="s">
        <v>150</v>
      </c>
      <c r="F2" s="180" t="s">
        <v>112</v>
      </c>
      <c r="G2" s="179" t="s">
        <v>151</v>
      </c>
      <c r="H2" s="179" t="s">
        <v>173</v>
      </c>
      <c r="I2" s="179" t="s">
        <v>153</v>
      </c>
      <c r="J2" s="179" t="s">
        <v>154</v>
      </c>
      <c r="K2" s="178"/>
      <c r="L2" s="178"/>
      <c r="M2" s="178"/>
      <c r="N2" s="178"/>
      <c r="O2" s="178"/>
      <c r="P2" s="178"/>
      <c r="Q2" s="178"/>
      <c r="R2" s="178"/>
      <c r="S2" s="178"/>
      <c r="T2" s="178"/>
      <c r="U2" s="178"/>
      <c r="V2" s="178"/>
      <c r="W2" s="178"/>
      <c r="X2" s="178"/>
      <c r="Y2" s="178"/>
      <c r="Z2" s="178"/>
      <c r="AA2" s="178"/>
    </row>
    <row r="3">
      <c r="A3" s="51" t="s">
        <v>174</v>
      </c>
      <c r="B3" s="155">
        <v>45731.0</v>
      </c>
      <c r="C3" s="51" t="s">
        <v>61</v>
      </c>
      <c r="D3" s="51">
        <v>3850.0</v>
      </c>
      <c r="E3" s="150">
        <v>0.0</v>
      </c>
      <c r="F3" s="150">
        <f>D3-E3</f>
        <v>3850</v>
      </c>
      <c r="G3" s="156">
        <v>4100.0</v>
      </c>
      <c r="H3" s="158">
        <f t="shared" ref="H3:H26" si="1">IF(E3="","",(SUM($G$3*E3)))</f>
        <v>0</v>
      </c>
      <c r="I3" s="158">
        <f>F3*G3</f>
        <v>15785000</v>
      </c>
      <c r="J3" s="159" t="str">
        <f>IF(OR(D3="",E3=""),"",IF(F3&lt;=0,"Closed","Open"))</f>
        <v>Open</v>
      </c>
      <c r="K3" s="178"/>
      <c r="L3" s="178"/>
      <c r="M3" s="178"/>
      <c r="N3" s="178"/>
      <c r="O3" s="178"/>
      <c r="P3" s="178"/>
      <c r="Q3" s="178"/>
      <c r="R3" s="178"/>
      <c r="S3" s="178"/>
      <c r="T3" s="178"/>
      <c r="U3" s="178"/>
      <c r="V3" s="178"/>
      <c r="W3" s="178"/>
      <c r="X3" s="178"/>
      <c r="Y3" s="178"/>
      <c r="Z3" s="178"/>
      <c r="AA3" s="178"/>
    </row>
    <row r="4">
      <c r="A4" s="94"/>
      <c r="B4" s="160">
        <v>45731.0</v>
      </c>
      <c r="C4" s="94"/>
      <c r="D4" s="94"/>
      <c r="E4" s="161">
        <v>7860.0</v>
      </c>
      <c r="F4" s="161">
        <f t="shared" ref="F4:F10" si="2">IF(E4="","",(SUM(F3-E4)))</f>
        <v>-4010</v>
      </c>
      <c r="G4" s="94"/>
      <c r="H4" s="163">
        <f t="shared" si="1"/>
        <v>32226000</v>
      </c>
      <c r="I4" s="163">
        <f>IF(F4="","",(SUM(G3*F4)))</f>
        <v>-16441000</v>
      </c>
      <c r="J4" s="164" t="str">
        <f t="shared" ref="J4:J10" si="3">IF(OR(F4="",E4=""),"",IF(F4&lt;=0,"Closed","Open"))</f>
        <v>Closed</v>
      </c>
      <c r="K4" s="178"/>
      <c r="L4" s="178"/>
      <c r="M4" s="178"/>
      <c r="N4" s="178"/>
      <c r="O4" s="178"/>
      <c r="P4" s="178"/>
      <c r="Q4" s="178"/>
      <c r="R4" s="178"/>
      <c r="S4" s="178"/>
      <c r="T4" s="178"/>
      <c r="U4" s="178"/>
      <c r="V4" s="178"/>
      <c r="W4" s="178"/>
      <c r="X4" s="178"/>
      <c r="Y4" s="178"/>
      <c r="Z4" s="178"/>
      <c r="AA4" s="178"/>
    </row>
    <row r="5">
      <c r="A5" s="61"/>
      <c r="B5" s="155"/>
      <c r="C5" s="61"/>
      <c r="D5" s="61"/>
      <c r="E5" s="150"/>
      <c r="F5" s="150" t="str">
        <f t="shared" si="2"/>
        <v/>
      </c>
      <c r="G5" s="61"/>
      <c r="H5" s="168" t="str">
        <f t="shared" si="1"/>
        <v/>
      </c>
      <c r="I5" s="168" t="str">
        <f>IF(F5="","",(SUM(G3*F5)))</f>
        <v/>
      </c>
      <c r="J5" s="159" t="str">
        <f t="shared" si="3"/>
        <v/>
      </c>
      <c r="K5" s="178"/>
      <c r="L5" s="178"/>
      <c r="M5" s="178"/>
      <c r="N5" s="178"/>
      <c r="O5" s="178"/>
      <c r="P5" s="178"/>
      <c r="Q5" s="178"/>
      <c r="R5" s="178"/>
      <c r="S5" s="178"/>
      <c r="T5" s="178"/>
      <c r="U5" s="178"/>
      <c r="V5" s="178"/>
      <c r="W5" s="178"/>
      <c r="X5" s="178"/>
      <c r="Y5" s="178"/>
      <c r="Z5" s="178"/>
      <c r="AA5" s="178"/>
    </row>
    <row r="6">
      <c r="A6" s="94"/>
      <c r="B6" s="160"/>
      <c r="C6" s="94"/>
      <c r="D6" s="94"/>
      <c r="E6" s="161"/>
      <c r="F6" s="161" t="str">
        <f t="shared" si="2"/>
        <v/>
      </c>
      <c r="G6" s="94"/>
      <c r="H6" s="166" t="str">
        <f t="shared" si="1"/>
        <v/>
      </c>
      <c r="I6" s="166" t="str">
        <f>IF(F6="","",(SUM(G3*F6)))</f>
        <v/>
      </c>
      <c r="J6" s="164" t="str">
        <f t="shared" si="3"/>
        <v/>
      </c>
      <c r="K6" s="178"/>
      <c r="L6" s="178"/>
      <c r="M6" s="178"/>
      <c r="N6" s="178"/>
      <c r="O6" s="178"/>
      <c r="P6" s="178"/>
      <c r="Q6" s="178"/>
      <c r="R6" s="178"/>
      <c r="S6" s="178"/>
      <c r="T6" s="178"/>
      <c r="U6" s="178"/>
      <c r="V6" s="178"/>
      <c r="W6" s="178"/>
      <c r="X6" s="178"/>
      <c r="Y6" s="178"/>
      <c r="Z6" s="178"/>
      <c r="AA6" s="178"/>
    </row>
    <row r="7">
      <c r="A7" s="61"/>
      <c r="B7" s="155"/>
      <c r="C7" s="61"/>
      <c r="D7" s="61"/>
      <c r="E7" s="150"/>
      <c r="F7" s="150" t="str">
        <f t="shared" si="2"/>
        <v/>
      </c>
      <c r="G7" s="61"/>
      <c r="H7" s="168" t="str">
        <f t="shared" si="1"/>
        <v/>
      </c>
      <c r="I7" s="168" t="str">
        <f>IF(F7="","",(SUM(G3*F7)))</f>
        <v/>
      </c>
      <c r="J7" s="159" t="str">
        <f t="shared" si="3"/>
        <v/>
      </c>
      <c r="K7" s="178"/>
      <c r="L7" s="178"/>
      <c r="M7" s="178"/>
      <c r="N7" s="178"/>
      <c r="O7" s="178"/>
      <c r="P7" s="178"/>
      <c r="Q7" s="178"/>
      <c r="R7" s="178"/>
      <c r="S7" s="178"/>
      <c r="T7" s="178"/>
      <c r="U7" s="178"/>
      <c r="V7" s="178"/>
      <c r="W7" s="178"/>
      <c r="X7" s="178"/>
      <c r="Y7" s="178"/>
      <c r="Z7" s="178"/>
      <c r="AA7" s="178"/>
    </row>
    <row r="8">
      <c r="A8" s="94"/>
      <c r="B8" s="160"/>
      <c r="C8" s="94"/>
      <c r="D8" s="94"/>
      <c r="E8" s="161"/>
      <c r="F8" s="161" t="str">
        <f t="shared" si="2"/>
        <v/>
      </c>
      <c r="G8" s="94"/>
      <c r="H8" s="166" t="str">
        <f t="shared" si="1"/>
        <v/>
      </c>
      <c r="I8" s="166" t="str">
        <f>IF(F8="","",(SUM(G3*F8)))</f>
        <v/>
      </c>
      <c r="J8" s="164" t="str">
        <f t="shared" si="3"/>
        <v/>
      </c>
      <c r="K8" s="178"/>
      <c r="L8" s="178"/>
      <c r="M8" s="178"/>
      <c r="N8" s="178"/>
      <c r="O8" s="178"/>
      <c r="P8" s="178"/>
      <c r="Q8" s="178"/>
      <c r="R8" s="178"/>
      <c r="S8" s="178"/>
      <c r="T8" s="178"/>
      <c r="U8" s="178"/>
      <c r="V8" s="178"/>
      <c r="W8" s="178"/>
      <c r="X8" s="178"/>
      <c r="Y8" s="178"/>
      <c r="Z8" s="178"/>
      <c r="AA8" s="178"/>
    </row>
    <row r="9">
      <c r="A9" s="61"/>
      <c r="B9" s="155"/>
      <c r="C9" s="61"/>
      <c r="D9" s="61"/>
      <c r="E9" s="150"/>
      <c r="F9" s="150" t="str">
        <f t="shared" si="2"/>
        <v/>
      </c>
      <c r="G9" s="61"/>
      <c r="H9" s="168" t="str">
        <f t="shared" si="1"/>
        <v/>
      </c>
      <c r="I9" s="168" t="str">
        <f>IF(F9="","",(SUM(G3*F9)))</f>
        <v/>
      </c>
      <c r="J9" s="159" t="str">
        <f t="shared" si="3"/>
        <v/>
      </c>
      <c r="K9" s="178"/>
      <c r="L9" s="178"/>
      <c r="M9" s="178"/>
      <c r="N9" s="178"/>
      <c r="O9" s="178"/>
      <c r="P9" s="178"/>
      <c r="Q9" s="178"/>
      <c r="R9" s="178"/>
      <c r="S9" s="178"/>
      <c r="T9" s="178"/>
      <c r="U9" s="178"/>
      <c r="V9" s="178"/>
      <c r="W9" s="178"/>
      <c r="X9" s="178"/>
      <c r="Y9" s="178"/>
      <c r="Z9" s="178"/>
      <c r="AA9" s="178"/>
    </row>
    <row r="10">
      <c r="A10" s="138"/>
      <c r="B10" s="160"/>
      <c r="C10" s="138"/>
      <c r="D10" s="138"/>
      <c r="E10" s="161"/>
      <c r="F10" s="161" t="str">
        <f t="shared" si="2"/>
        <v/>
      </c>
      <c r="G10" s="138"/>
      <c r="H10" s="166" t="str">
        <f t="shared" si="1"/>
        <v/>
      </c>
      <c r="I10" s="166" t="str">
        <f>IF(F10="","",(SUM(G3*F10)))</f>
        <v/>
      </c>
      <c r="J10" s="164" t="str">
        <f t="shared" si="3"/>
        <v/>
      </c>
      <c r="K10" s="178"/>
      <c r="L10" s="178"/>
      <c r="M10" s="178"/>
      <c r="N10" s="178"/>
      <c r="O10" s="178"/>
      <c r="P10" s="178"/>
      <c r="Q10" s="178"/>
      <c r="R10" s="178"/>
      <c r="S10" s="178"/>
      <c r="T10" s="178"/>
      <c r="U10" s="178"/>
      <c r="V10" s="178"/>
      <c r="W10" s="178"/>
      <c r="X10" s="178"/>
      <c r="Y10" s="178"/>
      <c r="Z10" s="178"/>
      <c r="AA10" s="178"/>
    </row>
    <row r="11">
      <c r="A11" s="51" t="s">
        <v>175</v>
      </c>
      <c r="B11" s="155">
        <v>45735.0</v>
      </c>
      <c r="C11" s="51" t="s">
        <v>88</v>
      </c>
      <c r="D11" s="51">
        <v>30000.0</v>
      </c>
      <c r="E11" s="150">
        <v>0.0</v>
      </c>
      <c r="F11" s="150">
        <f>D11-E11</f>
        <v>30000</v>
      </c>
      <c r="G11" s="156">
        <v>4400.0</v>
      </c>
      <c r="H11" s="158">
        <f t="shared" si="1"/>
        <v>0</v>
      </c>
      <c r="I11" s="158">
        <f>F11*G11</f>
        <v>132000000</v>
      </c>
      <c r="J11" s="159" t="str">
        <f>IF(OR(D11="",E11=""),"",IF(F11&lt;=0,"Closed","Open"))</f>
        <v>Open</v>
      </c>
      <c r="K11" s="178"/>
      <c r="L11" s="178"/>
      <c r="M11" s="178"/>
      <c r="N11" s="178"/>
      <c r="O11" s="178"/>
      <c r="P11" s="178"/>
      <c r="Q11" s="178"/>
      <c r="R11" s="178"/>
      <c r="S11" s="178"/>
      <c r="T11" s="178"/>
      <c r="U11" s="178"/>
      <c r="V11" s="178"/>
      <c r="W11" s="178"/>
      <c r="X11" s="178"/>
      <c r="Y11" s="178"/>
      <c r="Z11" s="178"/>
      <c r="AA11" s="178"/>
    </row>
    <row r="12">
      <c r="A12" s="94"/>
      <c r="B12" s="160">
        <v>45737.0</v>
      </c>
      <c r="C12" s="94"/>
      <c r="D12" s="94"/>
      <c r="E12" s="161">
        <v>10130.0</v>
      </c>
      <c r="F12" s="161">
        <f t="shared" ref="F12:F18" si="4">IF(E12="","",(SUM(F11-E12)))</f>
        <v>19870</v>
      </c>
      <c r="G12" s="94"/>
      <c r="H12" s="163">
        <f t="shared" si="1"/>
        <v>41533000</v>
      </c>
      <c r="I12" s="163">
        <f>IF(F12="","",(SUM(G11*F12)))</f>
        <v>87428000</v>
      </c>
      <c r="J12" s="164" t="str">
        <f t="shared" ref="J12:J18" si="5">IF(OR(F12="",E12=""),"",IF(F12&lt;=0,"Closed","Open"))</f>
        <v>Open</v>
      </c>
      <c r="K12" s="178"/>
      <c r="L12" s="178"/>
      <c r="M12" s="178"/>
      <c r="N12" s="178"/>
      <c r="O12" s="178"/>
      <c r="P12" s="178"/>
      <c r="Q12" s="178"/>
      <c r="R12" s="178"/>
      <c r="S12" s="178"/>
      <c r="T12" s="178"/>
      <c r="U12" s="178"/>
      <c r="V12" s="178"/>
      <c r="W12" s="178"/>
      <c r="X12" s="178"/>
      <c r="Y12" s="178"/>
      <c r="Z12" s="178"/>
      <c r="AA12" s="178"/>
    </row>
    <row r="13">
      <c r="A13" s="61"/>
      <c r="B13" s="155">
        <v>45740.0</v>
      </c>
      <c r="C13" s="61"/>
      <c r="D13" s="61"/>
      <c r="E13" s="150">
        <v>18170.0</v>
      </c>
      <c r="F13" s="150">
        <f t="shared" si="4"/>
        <v>1700</v>
      </c>
      <c r="G13" s="61"/>
      <c r="H13" s="158">
        <f t="shared" si="1"/>
        <v>74497000</v>
      </c>
      <c r="I13" s="158">
        <f>IF(F13="","",(SUM(G11*F13)))</f>
        <v>7480000</v>
      </c>
      <c r="J13" s="159" t="str">
        <f t="shared" si="5"/>
        <v>Open</v>
      </c>
      <c r="K13" s="178"/>
      <c r="L13" s="178"/>
      <c r="M13" s="178"/>
      <c r="N13" s="178"/>
      <c r="O13" s="178"/>
      <c r="P13" s="178"/>
      <c r="Q13" s="178"/>
      <c r="R13" s="178"/>
      <c r="S13" s="178"/>
      <c r="T13" s="178"/>
      <c r="U13" s="178"/>
      <c r="V13" s="178"/>
      <c r="W13" s="178"/>
      <c r="X13" s="178"/>
      <c r="Y13" s="178"/>
      <c r="Z13" s="178"/>
      <c r="AA13" s="178"/>
    </row>
    <row r="14">
      <c r="A14" s="94"/>
      <c r="B14" s="160"/>
      <c r="C14" s="94"/>
      <c r="D14" s="94"/>
      <c r="E14" s="161"/>
      <c r="F14" s="161" t="str">
        <f t="shared" si="4"/>
        <v/>
      </c>
      <c r="G14" s="94"/>
      <c r="H14" s="166" t="str">
        <f t="shared" si="1"/>
        <v/>
      </c>
      <c r="I14" s="166" t="str">
        <f>IF(F14="","",(SUM(G11*F14)))</f>
        <v/>
      </c>
      <c r="J14" s="164" t="str">
        <f t="shared" si="5"/>
        <v/>
      </c>
      <c r="K14" s="178"/>
      <c r="L14" s="178"/>
      <c r="M14" s="178"/>
      <c r="N14" s="178"/>
      <c r="O14" s="178"/>
      <c r="P14" s="178"/>
      <c r="Q14" s="178"/>
      <c r="R14" s="178"/>
      <c r="S14" s="178"/>
      <c r="T14" s="178"/>
      <c r="U14" s="178"/>
      <c r="V14" s="178"/>
      <c r="W14" s="178"/>
      <c r="X14" s="178"/>
      <c r="Y14" s="178"/>
      <c r="Z14" s="178"/>
      <c r="AA14" s="178"/>
    </row>
    <row r="15">
      <c r="A15" s="61"/>
      <c r="B15" s="155"/>
      <c r="C15" s="61"/>
      <c r="D15" s="61"/>
      <c r="E15" s="150"/>
      <c r="F15" s="150" t="str">
        <f t="shared" si="4"/>
        <v/>
      </c>
      <c r="G15" s="61"/>
      <c r="H15" s="168" t="str">
        <f t="shared" si="1"/>
        <v/>
      </c>
      <c r="I15" s="168" t="str">
        <f>IF(F15="","",(SUM(G11*F15)))</f>
        <v/>
      </c>
      <c r="J15" s="159" t="str">
        <f t="shared" si="5"/>
        <v/>
      </c>
      <c r="K15" s="178"/>
      <c r="L15" s="178"/>
      <c r="M15" s="178"/>
      <c r="N15" s="178"/>
      <c r="O15" s="178"/>
      <c r="P15" s="178"/>
      <c r="Q15" s="178"/>
      <c r="R15" s="178"/>
      <c r="S15" s="178"/>
      <c r="T15" s="178"/>
      <c r="U15" s="178"/>
      <c r="V15" s="178"/>
      <c r="W15" s="178"/>
      <c r="X15" s="178"/>
      <c r="Y15" s="178"/>
      <c r="Z15" s="178"/>
      <c r="AA15" s="178"/>
    </row>
    <row r="16">
      <c r="A16" s="94"/>
      <c r="B16" s="160"/>
      <c r="C16" s="94"/>
      <c r="D16" s="94"/>
      <c r="E16" s="161"/>
      <c r="F16" s="161" t="str">
        <f t="shared" si="4"/>
        <v/>
      </c>
      <c r="G16" s="94"/>
      <c r="H16" s="166" t="str">
        <f t="shared" si="1"/>
        <v/>
      </c>
      <c r="I16" s="166" t="str">
        <f>IF(F16="","",(SUM(G11*F16)))</f>
        <v/>
      </c>
      <c r="J16" s="164" t="str">
        <f t="shared" si="5"/>
        <v/>
      </c>
      <c r="K16" s="178"/>
      <c r="L16" s="178"/>
      <c r="M16" s="178"/>
      <c r="N16" s="178"/>
      <c r="O16" s="178"/>
      <c r="P16" s="178"/>
      <c r="Q16" s="178"/>
      <c r="R16" s="178"/>
      <c r="S16" s="178"/>
      <c r="T16" s="178"/>
      <c r="U16" s="178"/>
      <c r="V16" s="178"/>
      <c r="W16" s="178"/>
      <c r="X16" s="178"/>
      <c r="Y16" s="178"/>
      <c r="Z16" s="178"/>
      <c r="AA16" s="178"/>
    </row>
    <row r="17">
      <c r="A17" s="61"/>
      <c r="B17" s="155"/>
      <c r="C17" s="61"/>
      <c r="D17" s="61"/>
      <c r="E17" s="150"/>
      <c r="F17" s="150" t="str">
        <f t="shared" si="4"/>
        <v/>
      </c>
      <c r="G17" s="61"/>
      <c r="H17" s="168" t="str">
        <f t="shared" si="1"/>
        <v/>
      </c>
      <c r="I17" s="168" t="str">
        <f>IF(F17="","",(SUM(G11*F17)))</f>
        <v/>
      </c>
      <c r="J17" s="159" t="str">
        <f t="shared" si="5"/>
        <v/>
      </c>
      <c r="K17" s="178"/>
      <c r="L17" s="178"/>
      <c r="M17" s="178"/>
      <c r="N17" s="178"/>
      <c r="O17" s="178"/>
      <c r="P17" s="178"/>
      <c r="Q17" s="178"/>
      <c r="R17" s="178"/>
      <c r="S17" s="178"/>
      <c r="T17" s="178"/>
      <c r="U17" s="178"/>
      <c r="V17" s="178"/>
      <c r="W17" s="178"/>
      <c r="X17" s="178"/>
      <c r="Y17" s="178"/>
      <c r="Z17" s="178"/>
      <c r="AA17" s="178"/>
    </row>
    <row r="18">
      <c r="A18" s="138"/>
      <c r="B18" s="160"/>
      <c r="C18" s="138"/>
      <c r="D18" s="138"/>
      <c r="E18" s="161"/>
      <c r="F18" s="161" t="str">
        <f t="shared" si="4"/>
        <v/>
      </c>
      <c r="G18" s="138"/>
      <c r="H18" s="166" t="str">
        <f t="shared" si="1"/>
        <v/>
      </c>
      <c r="I18" s="166" t="str">
        <f>IF(F18="","",(SUM(G11*F18)))</f>
        <v/>
      </c>
      <c r="J18" s="164" t="str">
        <f t="shared" si="5"/>
        <v/>
      </c>
      <c r="K18" s="178"/>
      <c r="L18" s="178"/>
      <c r="M18" s="178"/>
      <c r="N18" s="178"/>
      <c r="O18" s="178"/>
      <c r="P18" s="178"/>
      <c r="Q18" s="178"/>
      <c r="R18" s="178"/>
      <c r="S18" s="178"/>
      <c r="T18" s="178"/>
      <c r="U18" s="178"/>
      <c r="V18" s="178"/>
      <c r="W18" s="178"/>
      <c r="X18" s="178"/>
      <c r="Y18" s="178"/>
      <c r="Z18" s="178"/>
      <c r="AA18" s="178"/>
    </row>
    <row r="19">
      <c r="A19" s="51" t="s">
        <v>176</v>
      </c>
      <c r="B19" s="155">
        <v>45735.0</v>
      </c>
      <c r="C19" s="181" t="s">
        <v>177</v>
      </c>
      <c r="D19" s="51">
        <v>50000.0</v>
      </c>
      <c r="E19" s="150">
        <v>0.0</v>
      </c>
      <c r="F19" s="150">
        <f>D19-E19</f>
        <v>50000</v>
      </c>
      <c r="G19" s="156">
        <v>4100.0</v>
      </c>
      <c r="H19" s="158">
        <f t="shared" si="1"/>
        <v>0</v>
      </c>
      <c r="I19" s="158">
        <f>F19*G19</f>
        <v>205000000</v>
      </c>
      <c r="J19" s="159" t="str">
        <f>IF(OR(D19="",E19=""),"",IF(F19&lt;=0,"Closed","Open"))</f>
        <v>Open</v>
      </c>
      <c r="K19" s="178"/>
      <c r="L19" s="178"/>
      <c r="M19" s="178"/>
      <c r="N19" s="178"/>
      <c r="O19" s="178"/>
      <c r="P19" s="178"/>
      <c r="Q19" s="178"/>
      <c r="R19" s="178"/>
      <c r="S19" s="178"/>
      <c r="T19" s="178"/>
      <c r="U19" s="178"/>
      <c r="V19" s="178"/>
      <c r="W19" s="178"/>
      <c r="X19" s="178"/>
      <c r="Y19" s="178"/>
      <c r="Z19" s="178"/>
      <c r="AA19" s="178"/>
    </row>
    <row r="20">
      <c r="A20" s="94"/>
      <c r="B20" s="160"/>
      <c r="C20" s="94"/>
      <c r="D20" s="94"/>
      <c r="E20" s="161"/>
      <c r="F20" s="161" t="str">
        <f t="shared" ref="F20:F26" si="6">IF(E20="","",(SUM(F19-E20)))</f>
        <v/>
      </c>
      <c r="G20" s="94"/>
      <c r="H20" s="166" t="str">
        <f t="shared" si="1"/>
        <v/>
      </c>
      <c r="I20" s="166" t="str">
        <f>IF(F20="","",(SUM(G19*F20)))</f>
        <v/>
      </c>
      <c r="J20" s="164" t="str">
        <f t="shared" ref="J20:J26" si="7">IF(OR(F20="",E20=""),"",IF(F20&lt;=0,"Closed","Open"))</f>
        <v/>
      </c>
      <c r="K20" s="178"/>
      <c r="L20" s="178"/>
      <c r="M20" s="178"/>
      <c r="N20" s="178"/>
      <c r="O20" s="178"/>
      <c r="P20" s="178"/>
      <c r="Q20" s="178"/>
      <c r="R20" s="178"/>
      <c r="S20" s="178"/>
      <c r="T20" s="178"/>
      <c r="U20" s="178"/>
      <c r="V20" s="178"/>
      <c r="W20" s="178"/>
      <c r="X20" s="178"/>
      <c r="Y20" s="178"/>
      <c r="Z20" s="178"/>
      <c r="AA20" s="178"/>
    </row>
    <row r="21">
      <c r="A21" s="61"/>
      <c r="B21" s="155"/>
      <c r="C21" s="61"/>
      <c r="D21" s="61"/>
      <c r="E21" s="150"/>
      <c r="F21" s="150" t="str">
        <f t="shared" si="6"/>
        <v/>
      </c>
      <c r="G21" s="61"/>
      <c r="H21" s="168" t="str">
        <f t="shared" si="1"/>
        <v/>
      </c>
      <c r="I21" s="168" t="str">
        <f>IF(F21="","",(SUM(G19*F21)))</f>
        <v/>
      </c>
      <c r="J21" s="159" t="str">
        <f t="shared" si="7"/>
        <v/>
      </c>
      <c r="K21" s="178"/>
      <c r="L21" s="178"/>
      <c r="M21" s="178"/>
      <c r="N21" s="178"/>
      <c r="O21" s="178"/>
      <c r="P21" s="178"/>
      <c r="Q21" s="178"/>
      <c r="R21" s="178"/>
      <c r="S21" s="178"/>
      <c r="T21" s="178"/>
      <c r="U21" s="178"/>
      <c r="V21" s="178"/>
      <c r="W21" s="178"/>
      <c r="X21" s="178"/>
      <c r="Y21" s="178"/>
      <c r="Z21" s="178"/>
      <c r="AA21" s="178"/>
    </row>
    <row r="22">
      <c r="A22" s="94"/>
      <c r="B22" s="160"/>
      <c r="C22" s="94"/>
      <c r="D22" s="94"/>
      <c r="E22" s="161"/>
      <c r="F22" s="161" t="str">
        <f t="shared" si="6"/>
        <v/>
      </c>
      <c r="G22" s="94"/>
      <c r="H22" s="166" t="str">
        <f t="shared" si="1"/>
        <v/>
      </c>
      <c r="I22" s="166" t="str">
        <f>IF(F22="","",(SUM(G19*F22)))</f>
        <v/>
      </c>
      <c r="J22" s="164" t="str">
        <f t="shared" si="7"/>
        <v/>
      </c>
      <c r="K22" s="178"/>
      <c r="L22" s="178"/>
      <c r="M22" s="178"/>
      <c r="N22" s="178"/>
      <c r="O22" s="178"/>
      <c r="P22" s="178"/>
      <c r="Q22" s="178"/>
      <c r="R22" s="178"/>
      <c r="S22" s="178"/>
      <c r="T22" s="178"/>
      <c r="U22" s="178"/>
      <c r="V22" s="178"/>
      <c r="W22" s="178"/>
      <c r="X22" s="178"/>
      <c r="Y22" s="178"/>
      <c r="Z22" s="178"/>
      <c r="AA22" s="178"/>
    </row>
    <row r="23">
      <c r="A23" s="61"/>
      <c r="B23" s="155"/>
      <c r="C23" s="61"/>
      <c r="D23" s="61"/>
      <c r="E23" s="150"/>
      <c r="F23" s="150" t="str">
        <f t="shared" si="6"/>
        <v/>
      </c>
      <c r="G23" s="61"/>
      <c r="H23" s="168" t="str">
        <f t="shared" si="1"/>
        <v/>
      </c>
      <c r="I23" s="168" t="str">
        <f>IF(F23="","",(SUM(G19*F23)))</f>
        <v/>
      </c>
      <c r="J23" s="159" t="str">
        <f t="shared" si="7"/>
        <v/>
      </c>
      <c r="K23" s="178"/>
      <c r="L23" s="178"/>
      <c r="M23" s="178"/>
      <c r="N23" s="178"/>
      <c r="O23" s="178"/>
      <c r="P23" s="178"/>
      <c r="Q23" s="178"/>
      <c r="R23" s="178"/>
      <c r="S23" s="178"/>
      <c r="T23" s="178"/>
      <c r="U23" s="178"/>
      <c r="V23" s="178"/>
      <c r="W23" s="178"/>
      <c r="X23" s="178"/>
      <c r="Y23" s="178"/>
      <c r="Z23" s="178"/>
      <c r="AA23" s="178"/>
    </row>
    <row r="24">
      <c r="A24" s="94"/>
      <c r="B24" s="160"/>
      <c r="C24" s="94"/>
      <c r="D24" s="94"/>
      <c r="E24" s="161"/>
      <c r="F24" s="161" t="str">
        <f t="shared" si="6"/>
        <v/>
      </c>
      <c r="G24" s="94"/>
      <c r="H24" s="166" t="str">
        <f t="shared" si="1"/>
        <v/>
      </c>
      <c r="I24" s="166" t="str">
        <f>IF(F24="","",(SUM(G19*F24)))</f>
        <v/>
      </c>
      <c r="J24" s="164" t="str">
        <f t="shared" si="7"/>
        <v/>
      </c>
      <c r="K24" s="178"/>
      <c r="L24" s="178"/>
      <c r="M24" s="178"/>
      <c r="N24" s="178"/>
      <c r="O24" s="178"/>
      <c r="P24" s="178"/>
      <c r="Q24" s="178"/>
      <c r="R24" s="178"/>
      <c r="S24" s="178"/>
      <c r="T24" s="178"/>
      <c r="U24" s="178"/>
      <c r="V24" s="178"/>
      <c r="W24" s="178"/>
      <c r="X24" s="178"/>
      <c r="Y24" s="178"/>
      <c r="Z24" s="178"/>
      <c r="AA24" s="178"/>
    </row>
    <row r="25">
      <c r="A25" s="61"/>
      <c r="B25" s="155"/>
      <c r="C25" s="61"/>
      <c r="D25" s="61"/>
      <c r="E25" s="150"/>
      <c r="F25" s="150" t="str">
        <f t="shared" si="6"/>
        <v/>
      </c>
      <c r="G25" s="61"/>
      <c r="H25" s="168" t="str">
        <f t="shared" si="1"/>
        <v/>
      </c>
      <c r="I25" s="168" t="str">
        <f>IF(F25="","",(SUM(G19*F25)))</f>
        <v/>
      </c>
      <c r="J25" s="159" t="str">
        <f t="shared" si="7"/>
        <v/>
      </c>
      <c r="K25" s="178"/>
      <c r="L25" s="178"/>
      <c r="M25" s="178"/>
      <c r="N25" s="178"/>
      <c r="O25" s="178"/>
      <c r="P25" s="178"/>
      <c r="Q25" s="178"/>
      <c r="R25" s="178"/>
      <c r="S25" s="178"/>
      <c r="T25" s="178"/>
      <c r="U25" s="178"/>
      <c r="V25" s="178"/>
      <c r="W25" s="178"/>
      <c r="X25" s="178"/>
      <c r="Y25" s="178"/>
      <c r="Z25" s="178"/>
      <c r="AA25" s="178"/>
    </row>
    <row r="26">
      <c r="A26" s="138"/>
      <c r="B26" s="160"/>
      <c r="C26" s="138"/>
      <c r="D26" s="138"/>
      <c r="E26" s="161"/>
      <c r="F26" s="161" t="str">
        <f t="shared" si="6"/>
        <v/>
      </c>
      <c r="G26" s="138"/>
      <c r="H26" s="166" t="str">
        <f t="shared" si="1"/>
        <v/>
      </c>
      <c r="I26" s="166" t="str">
        <f>IF(F26="","",(SUM(G19*F26)))</f>
        <v/>
      </c>
      <c r="J26" s="164" t="str">
        <f t="shared" si="7"/>
        <v/>
      </c>
      <c r="K26" s="178"/>
      <c r="L26" s="178"/>
      <c r="M26" s="178"/>
      <c r="N26" s="178"/>
      <c r="O26" s="178"/>
      <c r="P26" s="178"/>
      <c r="Q26" s="178"/>
      <c r="R26" s="178"/>
      <c r="S26" s="178"/>
      <c r="T26" s="178"/>
      <c r="U26" s="178"/>
      <c r="V26" s="178"/>
      <c r="W26" s="178"/>
      <c r="X26" s="178"/>
      <c r="Y26" s="178"/>
      <c r="Z26" s="178"/>
      <c r="AA26" s="178"/>
    </row>
    <row r="27">
      <c r="A27" s="178"/>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c r="AA27" s="178"/>
    </row>
    <row r="28">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78"/>
    </row>
    <row r="29">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c r="AA29" s="178"/>
    </row>
    <row r="30">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c r="AA30" s="178"/>
    </row>
    <row r="3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c r="AA31" s="178"/>
    </row>
    <row r="32">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row>
    <row r="33">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78"/>
    </row>
    <row r="34">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row>
    <row r="36">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c r="AA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row>
    <row r="996">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row>
    <row r="997">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row>
    <row r="998">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row>
    <row r="999">
      <c r="A999" s="178"/>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row>
    <row r="1000">
      <c r="A1000" s="178"/>
      <c r="B1000" s="178"/>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row>
  </sheetData>
  <mergeCells count="13">
    <mergeCell ref="G3:G10"/>
    <mergeCell ref="G11:G18"/>
    <mergeCell ref="C11:C18"/>
    <mergeCell ref="C19:C26"/>
    <mergeCell ref="D19:D26"/>
    <mergeCell ref="G19:G26"/>
    <mergeCell ref="A1:J1"/>
    <mergeCell ref="A3:A10"/>
    <mergeCell ref="C3:C10"/>
    <mergeCell ref="D3:D10"/>
    <mergeCell ref="A11:A18"/>
    <mergeCell ref="D11:D18"/>
    <mergeCell ref="A19:A26"/>
  </mergeCells>
  <conditionalFormatting sqref="H3:J26">
    <cfRule type="cellIs" dxfId="7" priority="1" operator="equal">
      <formula>"Closed"</formula>
    </cfRule>
  </conditionalFormatting>
  <conditionalFormatting sqref="H3:J26">
    <cfRule type="cellIs" dxfId="6" priority="2" operator="equal">
      <formula>"Open"</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7.75"/>
    <col customWidth="1" min="9" max="9" width="20.88"/>
  </cols>
  <sheetData>
    <row r="1">
      <c r="A1" s="177"/>
      <c r="B1" s="177"/>
      <c r="C1" s="177"/>
      <c r="D1" s="39" t="s">
        <v>178</v>
      </c>
      <c r="G1" s="177"/>
      <c r="H1" s="177"/>
      <c r="I1" s="177"/>
      <c r="J1" s="177"/>
      <c r="K1" s="182"/>
      <c r="L1" s="182"/>
      <c r="M1" s="182"/>
      <c r="N1" s="182"/>
      <c r="O1" s="182"/>
      <c r="P1" s="182"/>
      <c r="Q1" s="182"/>
      <c r="R1" s="182"/>
      <c r="S1" s="182"/>
      <c r="T1" s="182"/>
      <c r="U1" s="182"/>
      <c r="V1" s="182"/>
      <c r="W1" s="182"/>
      <c r="X1" s="182"/>
      <c r="Y1" s="182"/>
      <c r="Z1" s="182"/>
      <c r="AA1" s="183"/>
    </row>
    <row r="2">
      <c r="A2" s="184" t="s">
        <v>146</v>
      </c>
      <c r="B2" s="185" t="s">
        <v>147</v>
      </c>
      <c r="C2" s="184" t="s">
        <v>148</v>
      </c>
      <c r="D2" s="184" t="s">
        <v>149</v>
      </c>
      <c r="E2" s="185" t="s">
        <v>150</v>
      </c>
      <c r="F2" s="186" t="s">
        <v>112</v>
      </c>
      <c r="G2" s="185" t="s">
        <v>151</v>
      </c>
      <c r="H2" s="187" t="s">
        <v>179</v>
      </c>
      <c r="I2" s="187" t="s">
        <v>153</v>
      </c>
      <c r="J2" s="185" t="s">
        <v>154</v>
      </c>
      <c r="K2" s="178"/>
      <c r="L2" s="178"/>
      <c r="M2" s="178"/>
      <c r="N2" s="178"/>
      <c r="O2" s="178"/>
      <c r="P2" s="178"/>
      <c r="Q2" s="178"/>
      <c r="R2" s="178"/>
      <c r="S2" s="178"/>
      <c r="T2" s="178"/>
      <c r="U2" s="178"/>
      <c r="V2" s="178"/>
      <c r="W2" s="178"/>
      <c r="X2" s="178"/>
      <c r="Y2" s="178"/>
      <c r="Z2" s="178"/>
      <c r="AA2" s="188"/>
    </row>
    <row r="3">
      <c r="A3" s="189" t="s">
        <v>155</v>
      </c>
      <c r="B3" s="190">
        <v>45735.0</v>
      </c>
      <c r="C3" s="191" t="s">
        <v>130</v>
      </c>
      <c r="D3" s="191">
        <v>125000.0</v>
      </c>
      <c r="E3" s="189">
        <v>0.0</v>
      </c>
      <c r="F3" s="189">
        <f>D3-E3</f>
        <v>125000</v>
      </c>
      <c r="G3" s="192">
        <v>4200.0</v>
      </c>
      <c r="H3" s="192">
        <f t="shared" ref="H3:H22" si="1">IF(E3="","",(SUM($G$3*E3)))</f>
        <v>0</v>
      </c>
      <c r="I3" s="193">
        <f>F3*G3</f>
        <v>525000000</v>
      </c>
      <c r="J3" s="194" t="str">
        <f>IF(OR(D3="",E3=""),"",IF(F3&lt;=0,"Closed","Open"))</f>
        <v>Open</v>
      </c>
      <c r="K3" s="178"/>
      <c r="L3" s="178"/>
      <c r="M3" s="178"/>
      <c r="N3" s="178"/>
      <c r="O3" s="178"/>
      <c r="P3" s="178"/>
      <c r="Q3" s="178"/>
      <c r="R3" s="178"/>
      <c r="S3" s="178"/>
      <c r="T3" s="178"/>
      <c r="U3" s="178"/>
      <c r="V3" s="178"/>
      <c r="W3" s="178"/>
      <c r="X3" s="178"/>
      <c r="Y3" s="178"/>
      <c r="Z3" s="178"/>
      <c r="AA3" s="188"/>
    </row>
    <row r="4">
      <c r="A4" s="195" t="s">
        <v>155</v>
      </c>
      <c r="B4" s="196">
        <v>45741.0</v>
      </c>
      <c r="C4" s="191" t="s">
        <v>130</v>
      </c>
      <c r="D4" s="191">
        <v>125000.0</v>
      </c>
      <c r="E4" s="197">
        <v>8496.06</v>
      </c>
      <c r="F4" s="198">
        <f t="shared" ref="F4:F22" si="2">IF(E4="","",(SUM(F3-E4)))</f>
        <v>116503.94</v>
      </c>
      <c r="G4" s="192">
        <v>4200.0</v>
      </c>
      <c r="H4" s="192">
        <f t="shared" si="1"/>
        <v>35683452</v>
      </c>
      <c r="I4" s="199">
        <f>IF(F4="","",(SUM(G3*F4)))</f>
        <v>489316548</v>
      </c>
      <c r="J4" s="200" t="str">
        <f t="shared" ref="J4:J22" si="3">IF(OR(F4="",E4=""),"",IF(F4&lt;=0,"Closed","Open"))</f>
        <v>Open</v>
      </c>
      <c r="K4" s="178"/>
      <c r="L4" s="178"/>
      <c r="M4" s="178"/>
      <c r="N4" s="178"/>
      <c r="O4" s="178"/>
      <c r="P4" s="178"/>
      <c r="Q4" s="178"/>
      <c r="R4" s="178"/>
      <c r="S4" s="178"/>
      <c r="T4" s="178"/>
      <c r="U4" s="178"/>
      <c r="V4" s="178"/>
      <c r="W4" s="178"/>
      <c r="X4" s="178"/>
      <c r="Y4" s="178"/>
      <c r="Z4" s="178"/>
      <c r="AA4" s="188"/>
    </row>
    <row r="5">
      <c r="A5" s="189" t="s">
        <v>155</v>
      </c>
      <c r="B5" s="201">
        <v>45744.0</v>
      </c>
      <c r="C5" s="191" t="s">
        <v>130</v>
      </c>
      <c r="D5" s="191">
        <v>125000.0</v>
      </c>
      <c r="E5" s="202">
        <v>8656.06</v>
      </c>
      <c r="F5" s="198">
        <f t="shared" si="2"/>
        <v>107847.88</v>
      </c>
      <c r="G5" s="192">
        <v>4200.0</v>
      </c>
      <c r="H5" s="192">
        <f t="shared" si="1"/>
        <v>36355452</v>
      </c>
      <c r="I5" s="193">
        <f>IF(F5="","",(SUM(G3*F5)))</f>
        <v>452961096</v>
      </c>
      <c r="J5" s="194" t="str">
        <f t="shared" si="3"/>
        <v>Open</v>
      </c>
      <c r="K5" s="178"/>
      <c r="L5" s="178"/>
      <c r="M5" s="178"/>
      <c r="N5" s="178"/>
      <c r="O5" s="178"/>
      <c r="P5" s="178"/>
      <c r="Q5" s="178"/>
      <c r="R5" s="178"/>
      <c r="S5" s="178"/>
      <c r="T5" s="178"/>
      <c r="U5" s="178"/>
      <c r="V5" s="178"/>
      <c r="W5" s="178"/>
      <c r="X5" s="178"/>
      <c r="Y5" s="178"/>
      <c r="Z5" s="178"/>
      <c r="AA5" s="188"/>
    </row>
    <row r="6">
      <c r="A6" s="195" t="s">
        <v>155</v>
      </c>
      <c r="B6" s="203">
        <v>45754.0</v>
      </c>
      <c r="C6" s="191" t="s">
        <v>130</v>
      </c>
      <c r="D6" s="191">
        <v>125000.0</v>
      </c>
      <c r="E6" s="197">
        <v>8566.06</v>
      </c>
      <c r="F6" s="198">
        <f t="shared" si="2"/>
        <v>99281.82</v>
      </c>
      <c r="G6" s="192">
        <v>4200.0</v>
      </c>
      <c r="H6" s="192">
        <f t="shared" si="1"/>
        <v>35977452</v>
      </c>
      <c r="I6" s="204">
        <f>IF(F6="","",(SUM(G3*F6)))</f>
        <v>416983644</v>
      </c>
      <c r="J6" s="205" t="str">
        <f t="shared" si="3"/>
        <v>Open</v>
      </c>
      <c r="K6" s="178"/>
      <c r="L6" s="178"/>
      <c r="M6" s="178"/>
      <c r="N6" s="178"/>
      <c r="O6" s="178"/>
      <c r="P6" s="178"/>
      <c r="Q6" s="178"/>
      <c r="R6" s="178"/>
      <c r="S6" s="178"/>
      <c r="T6" s="178"/>
      <c r="U6" s="178"/>
      <c r="V6" s="178"/>
      <c r="W6" s="178"/>
      <c r="X6" s="178"/>
      <c r="Y6" s="178"/>
      <c r="Z6" s="178"/>
      <c r="AA6" s="188"/>
    </row>
    <row r="7">
      <c r="A7" s="189" t="s">
        <v>155</v>
      </c>
      <c r="B7" s="201">
        <v>45754.0</v>
      </c>
      <c r="C7" s="191" t="s">
        <v>130</v>
      </c>
      <c r="D7" s="191">
        <v>125000.0</v>
      </c>
      <c r="E7" s="202">
        <v>8566.06</v>
      </c>
      <c r="F7" s="198">
        <f t="shared" si="2"/>
        <v>90715.76</v>
      </c>
      <c r="G7" s="192">
        <v>4200.0</v>
      </c>
      <c r="H7" s="192">
        <f t="shared" si="1"/>
        <v>35977452</v>
      </c>
      <c r="I7" s="206">
        <f>IF(F7="","",(SUM(G3*F7)))</f>
        <v>381006192</v>
      </c>
      <c r="J7" s="207" t="str">
        <f t="shared" si="3"/>
        <v>Open</v>
      </c>
      <c r="K7" s="178"/>
      <c r="L7" s="178"/>
      <c r="M7" s="178"/>
      <c r="N7" s="178"/>
      <c r="O7" s="178"/>
      <c r="P7" s="178"/>
      <c r="Q7" s="178"/>
      <c r="R7" s="178"/>
      <c r="S7" s="178"/>
      <c r="T7" s="178"/>
      <c r="U7" s="178"/>
      <c r="V7" s="178"/>
      <c r="W7" s="178"/>
      <c r="X7" s="178"/>
      <c r="Y7" s="178"/>
      <c r="Z7" s="178"/>
      <c r="AA7" s="188"/>
    </row>
    <row r="8">
      <c r="A8" s="195" t="s">
        <v>155</v>
      </c>
      <c r="B8" s="203">
        <v>45756.0</v>
      </c>
      <c r="C8" s="191" t="s">
        <v>130</v>
      </c>
      <c r="D8" s="191">
        <v>125000.0</v>
      </c>
      <c r="E8" s="197">
        <v>8566.06</v>
      </c>
      <c r="F8" s="198">
        <f t="shared" si="2"/>
        <v>82149.7</v>
      </c>
      <c r="G8" s="192">
        <v>4200.0</v>
      </c>
      <c r="H8" s="192">
        <f t="shared" si="1"/>
        <v>35977452</v>
      </c>
      <c r="I8" s="204">
        <f>IF(F8="","",(SUM(G3*F8)))</f>
        <v>345028740</v>
      </c>
      <c r="J8" s="205" t="str">
        <f t="shared" si="3"/>
        <v>Open</v>
      </c>
      <c r="K8" s="178"/>
      <c r="L8" s="178"/>
      <c r="M8" s="178"/>
      <c r="N8" s="178"/>
      <c r="O8" s="178"/>
      <c r="P8" s="178"/>
      <c r="Q8" s="178"/>
      <c r="R8" s="178"/>
      <c r="S8" s="178"/>
      <c r="T8" s="178"/>
      <c r="U8" s="178"/>
      <c r="V8" s="178"/>
      <c r="W8" s="178"/>
      <c r="X8" s="178"/>
      <c r="Y8" s="178"/>
      <c r="Z8" s="178"/>
      <c r="AA8" s="188"/>
    </row>
    <row r="9">
      <c r="A9" s="189" t="s">
        <v>155</v>
      </c>
      <c r="B9" s="201">
        <v>45757.0</v>
      </c>
      <c r="C9" s="191" t="s">
        <v>130</v>
      </c>
      <c r="D9" s="191">
        <v>125000.0</v>
      </c>
      <c r="E9" s="202">
        <v>8556.06</v>
      </c>
      <c r="F9" s="198">
        <f t="shared" si="2"/>
        <v>73593.64</v>
      </c>
      <c r="G9" s="192">
        <v>4200.0</v>
      </c>
      <c r="H9" s="192">
        <f t="shared" si="1"/>
        <v>35935452</v>
      </c>
      <c r="I9" s="206">
        <f>IF(F9="","",(SUM(G3*F9)))</f>
        <v>309093288</v>
      </c>
      <c r="J9" s="207" t="str">
        <f t="shared" si="3"/>
        <v>Open</v>
      </c>
      <c r="K9" s="178"/>
      <c r="L9" s="178"/>
      <c r="M9" s="178"/>
      <c r="N9" s="178"/>
      <c r="O9" s="178"/>
      <c r="P9" s="178"/>
      <c r="Q9" s="178"/>
      <c r="R9" s="178"/>
      <c r="S9" s="178"/>
      <c r="T9" s="178"/>
      <c r="U9" s="178"/>
      <c r="V9" s="178"/>
      <c r="W9" s="178"/>
      <c r="X9" s="178"/>
      <c r="Y9" s="178"/>
      <c r="Z9" s="178"/>
      <c r="AA9" s="188"/>
    </row>
    <row r="10">
      <c r="A10" s="195" t="s">
        <v>155</v>
      </c>
      <c r="B10" s="203">
        <v>45758.0</v>
      </c>
      <c r="C10" s="191" t="s">
        <v>130</v>
      </c>
      <c r="D10" s="191">
        <v>125000.0</v>
      </c>
      <c r="E10" s="197">
        <v>8506.06</v>
      </c>
      <c r="F10" s="198">
        <f t="shared" si="2"/>
        <v>65087.58</v>
      </c>
      <c r="G10" s="192">
        <v>4200.0</v>
      </c>
      <c r="H10" s="192">
        <f t="shared" si="1"/>
        <v>35725452</v>
      </c>
      <c r="I10" s="204">
        <f>IF(F10="","",(SUM(G3*F10)))</f>
        <v>273367836</v>
      </c>
      <c r="J10" s="205" t="str">
        <f t="shared" si="3"/>
        <v>Open</v>
      </c>
      <c r="K10" s="178"/>
      <c r="L10" s="178"/>
      <c r="M10" s="178"/>
      <c r="N10" s="178"/>
      <c r="O10" s="178"/>
      <c r="P10" s="178"/>
      <c r="Q10" s="178"/>
      <c r="R10" s="178"/>
      <c r="S10" s="178"/>
      <c r="T10" s="178"/>
      <c r="U10" s="178"/>
      <c r="V10" s="178"/>
      <c r="W10" s="178"/>
      <c r="X10" s="178"/>
      <c r="Y10" s="178"/>
      <c r="Z10" s="178"/>
      <c r="AA10" s="188"/>
    </row>
    <row r="11">
      <c r="A11" s="189" t="s">
        <v>155</v>
      </c>
      <c r="B11" s="201">
        <v>45757.0</v>
      </c>
      <c r="C11" s="191" t="s">
        <v>130</v>
      </c>
      <c r="D11" s="191">
        <v>125000.0</v>
      </c>
      <c r="E11" s="202">
        <v>8556.06</v>
      </c>
      <c r="F11" s="198">
        <f t="shared" si="2"/>
        <v>56531.52</v>
      </c>
      <c r="G11" s="192">
        <v>4200.0</v>
      </c>
      <c r="H11" s="192">
        <f t="shared" si="1"/>
        <v>35935452</v>
      </c>
      <c r="I11" s="206">
        <f>IF(F11="","",(SUM(G5*F11)))</f>
        <v>237432384</v>
      </c>
      <c r="J11" s="207" t="str">
        <f t="shared" si="3"/>
        <v>Open</v>
      </c>
      <c r="K11" s="178"/>
      <c r="L11" s="178"/>
      <c r="M11" s="178"/>
      <c r="N11" s="178"/>
      <c r="O11" s="178"/>
      <c r="P11" s="178"/>
      <c r="Q11" s="178"/>
      <c r="R11" s="178"/>
      <c r="S11" s="178"/>
      <c r="T11" s="178"/>
      <c r="U11" s="178"/>
      <c r="V11" s="178"/>
      <c r="W11" s="178"/>
      <c r="X11" s="178"/>
      <c r="Y11" s="178"/>
      <c r="Z11" s="178"/>
      <c r="AA11" s="188"/>
    </row>
    <row r="12">
      <c r="A12" s="195" t="s">
        <v>155</v>
      </c>
      <c r="B12" s="203">
        <v>45758.0</v>
      </c>
      <c r="C12" s="191" t="s">
        <v>130</v>
      </c>
      <c r="D12" s="191">
        <v>125000.0</v>
      </c>
      <c r="E12" s="197">
        <v>8506.06</v>
      </c>
      <c r="F12" s="198">
        <f t="shared" si="2"/>
        <v>48025.46</v>
      </c>
      <c r="G12" s="192">
        <v>4200.0</v>
      </c>
      <c r="H12" s="192">
        <f t="shared" si="1"/>
        <v>35725452</v>
      </c>
      <c r="I12" s="204">
        <f>IF(F12="","",(SUM(G5*F12)))</f>
        <v>201706932</v>
      </c>
      <c r="J12" s="205" t="str">
        <f t="shared" si="3"/>
        <v>Open</v>
      </c>
      <c r="K12" s="178"/>
      <c r="L12" s="178"/>
      <c r="M12" s="178"/>
      <c r="N12" s="178"/>
      <c r="O12" s="178"/>
      <c r="P12" s="178"/>
      <c r="Q12" s="178"/>
      <c r="R12" s="178"/>
      <c r="S12" s="178"/>
      <c r="T12" s="178"/>
      <c r="U12" s="178"/>
      <c r="V12" s="178"/>
      <c r="W12" s="178"/>
      <c r="X12" s="178"/>
      <c r="Y12" s="178"/>
      <c r="Z12" s="178"/>
      <c r="AA12" s="188"/>
    </row>
    <row r="13">
      <c r="A13" s="208" t="s">
        <v>155</v>
      </c>
      <c r="B13" s="209"/>
      <c r="C13" s="208" t="s">
        <v>130</v>
      </c>
      <c r="D13" s="208">
        <v>125000.0</v>
      </c>
      <c r="E13" s="210"/>
      <c r="F13" s="211" t="str">
        <f t="shared" si="2"/>
        <v/>
      </c>
      <c r="G13" s="212">
        <v>4200.0</v>
      </c>
      <c r="H13" s="212" t="str">
        <f t="shared" si="1"/>
        <v/>
      </c>
      <c r="I13" s="213" t="str">
        <f>IF(F13="","",(SUM(G7*F13)))</f>
        <v/>
      </c>
      <c r="J13" s="214" t="str">
        <f t="shared" si="3"/>
        <v/>
      </c>
      <c r="K13" s="178"/>
      <c r="L13" s="178"/>
      <c r="M13" s="178"/>
      <c r="N13" s="178"/>
      <c r="O13" s="178"/>
      <c r="P13" s="178"/>
      <c r="Q13" s="178"/>
      <c r="R13" s="178"/>
      <c r="S13" s="178"/>
      <c r="T13" s="178"/>
      <c r="U13" s="178"/>
      <c r="V13" s="178"/>
      <c r="W13" s="178"/>
      <c r="X13" s="178"/>
      <c r="Y13" s="178"/>
      <c r="Z13" s="178"/>
      <c r="AA13" s="188"/>
    </row>
    <row r="14">
      <c r="A14" s="215" t="s">
        <v>155</v>
      </c>
      <c r="B14" s="216"/>
      <c r="C14" s="215" t="s">
        <v>130</v>
      </c>
      <c r="D14" s="215">
        <v>125000.0</v>
      </c>
      <c r="E14" s="217"/>
      <c r="F14" s="218" t="str">
        <f t="shared" si="2"/>
        <v/>
      </c>
      <c r="G14" s="219">
        <v>4200.0</v>
      </c>
      <c r="H14" s="219" t="str">
        <f t="shared" si="1"/>
        <v/>
      </c>
      <c r="I14" s="220" t="str">
        <f>IF(F14="","",(SUM(G7*F14)))</f>
        <v/>
      </c>
      <c r="J14" s="221" t="str">
        <f t="shared" si="3"/>
        <v/>
      </c>
      <c r="K14" s="178"/>
      <c r="L14" s="178"/>
      <c r="M14" s="178"/>
      <c r="N14" s="178"/>
      <c r="O14" s="178"/>
      <c r="P14" s="178"/>
      <c r="Q14" s="178"/>
      <c r="R14" s="178"/>
      <c r="S14" s="178"/>
      <c r="T14" s="178"/>
      <c r="U14" s="178"/>
      <c r="V14" s="178"/>
      <c r="W14" s="178"/>
      <c r="X14" s="178"/>
      <c r="Y14" s="178"/>
      <c r="Z14" s="178"/>
      <c r="AA14" s="188"/>
    </row>
    <row r="15">
      <c r="A15" s="208" t="s">
        <v>155</v>
      </c>
      <c r="B15" s="209"/>
      <c r="C15" s="208" t="s">
        <v>130</v>
      </c>
      <c r="D15" s="208">
        <v>125000.0</v>
      </c>
      <c r="E15" s="210"/>
      <c r="F15" s="211" t="str">
        <f t="shared" si="2"/>
        <v/>
      </c>
      <c r="G15" s="212">
        <v>4200.0</v>
      </c>
      <c r="H15" s="212" t="str">
        <f t="shared" si="1"/>
        <v/>
      </c>
      <c r="I15" s="213" t="str">
        <f>IF(F15="","",(SUM(G9*F15)))</f>
        <v/>
      </c>
      <c r="J15" s="214" t="str">
        <f t="shared" si="3"/>
        <v/>
      </c>
      <c r="K15" s="178"/>
      <c r="L15" s="178"/>
      <c r="M15" s="178"/>
      <c r="N15" s="178"/>
      <c r="O15" s="178"/>
      <c r="P15" s="178"/>
      <c r="Q15" s="178"/>
      <c r="R15" s="178"/>
      <c r="S15" s="178"/>
      <c r="T15" s="178"/>
      <c r="U15" s="178"/>
      <c r="V15" s="178"/>
      <c r="W15" s="178"/>
      <c r="X15" s="178"/>
      <c r="Y15" s="178"/>
      <c r="Z15" s="178"/>
      <c r="AA15" s="188"/>
    </row>
    <row r="16">
      <c r="A16" s="215" t="s">
        <v>155</v>
      </c>
      <c r="B16" s="216"/>
      <c r="C16" s="215" t="s">
        <v>130</v>
      </c>
      <c r="D16" s="215">
        <v>125000.0</v>
      </c>
      <c r="E16" s="217"/>
      <c r="F16" s="218" t="str">
        <f t="shared" si="2"/>
        <v/>
      </c>
      <c r="G16" s="219">
        <v>4200.0</v>
      </c>
      <c r="H16" s="219" t="str">
        <f t="shared" si="1"/>
        <v/>
      </c>
      <c r="I16" s="220" t="str">
        <f>IF(F16="","",(SUM(G9*F16)))</f>
        <v/>
      </c>
      <c r="J16" s="221" t="str">
        <f t="shared" si="3"/>
        <v/>
      </c>
      <c r="K16" s="178"/>
      <c r="L16" s="178"/>
      <c r="M16" s="178"/>
      <c r="N16" s="178"/>
      <c r="O16" s="178"/>
      <c r="P16" s="178"/>
      <c r="Q16" s="178"/>
      <c r="R16" s="178"/>
      <c r="S16" s="178"/>
      <c r="T16" s="178"/>
      <c r="U16" s="178"/>
      <c r="V16" s="178"/>
      <c r="W16" s="178"/>
      <c r="X16" s="178"/>
      <c r="Y16" s="178"/>
      <c r="Z16" s="178"/>
      <c r="AA16" s="188"/>
    </row>
    <row r="17">
      <c r="A17" s="208" t="s">
        <v>155</v>
      </c>
      <c r="B17" s="209"/>
      <c r="C17" s="208" t="s">
        <v>130</v>
      </c>
      <c r="D17" s="208">
        <v>125000.0</v>
      </c>
      <c r="E17" s="210"/>
      <c r="F17" s="211" t="str">
        <f t="shared" si="2"/>
        <v/>
      </c>
      <c r="G17" s="212">
        <v>4200.0</v>
      </c>
      <c r="H17" s="212" t="str">
        <f t="shared" si="1"/>
        <v/>
      </c>
      <c r="I17" s="213" t="str">
        <f>IF(F17="","",(SUM(G11*F17)))</f>
        <v/>
      </c>
      <c r="J17" s="214" t="str">
        <f t="shared" si="3"/>
        <v/>
      </c>
      <c r="K17" s="178"/>
      <c r="L17" s="178"/>
      <c r="M17" s="178"/>
      <c r="N17" s="178"/>
      <c r="O17" s="178"/>
      <c r="P17" s="178"/>
      <c r="Q17" s="178"/>
      <c r="R17" s="178"/>
      <c r="S17" s="178"/>
      <c r="T17" s="178"/>
      <c r="U17" s="178"/>
      <c r="V17" s="178"/>
      <c r="W17" s="178"/>
      <c r="X17" s="178"/>
      <c r="Y17" s="178"/>
      <c r="Z17" s="178"/>
      <c r="AA17" s="188"/>
    </row>
    <row r="18">
      <c r="A18" s="215" t="s">
        <v>155</v>
      </c>
      <c r="B18" s="216"/>
      <c r="C18" s="215" t="s">
        <v>130</v>
      </c>
      <c r="D18" s="215">
        <v>125000.0</v>
      </c>
      <c r="E18" s="217"/>
      <c r="F18" s="218" t="str">
        <f t="shared" si="2"/>
        <v/>
      </c>
      <c r="G18" s="219">
        <v>4200.0</v>
      </c>
      <c r="H18" s="219" t="str">
        <f t="shared" si="1"/>
        <v/>
      </c>
      <c r="I18" s="220" t="str">
        <f>IF(F18="","",(SUM(G11*F18)))</f>
        <v/>
      </c>
      <c r="J18" s="221" t="str">
        <f t="shared" si="3"/>
        <v/>
      </c>
      <c r="K18" s="178"/>
      <c r="L18" s="178"/>
      <c r="M18" s="178"/>
      <c r="N18" s="178"/>
      <c r="O18" s="178"/>
      <c r="P18" s="178"/>
      <c r="Q18" s="178"/>
      <c r="R18" s="178"/>
      <c r="S18" s="178"/>
      <c r="T18" s="178"/>
      <c r="U18" s="178"/>
      <c r="V18" s="178"/>
      <c r="W18" s="178"/>
      <c r="X18" s="178"/>
      <c r="Y18" s="178"/>
      <c r="Z18" s="178"/>
      <c r="AA18" s="188"/>
    </row>
    <row r="19">
      <c r="A19" s="208" t="s">
        <v>155</v>
      </c>
      <c r="B19" s="209"/>
      <c r="C19" s="208" t="s">
        <v>130</v>
      </c>
      <c r="D19" s="208">
        <v>125000.0</v>
      </c>
      <c r="E19" s="210"/>
      <c r="F19" s="211" t="str">
        <f t="shared" si="2"/>
        <v/>
      </c>
      <c r="G19" s="212">
        <v>4200.0</v>
      </c>
      <c r="H19" s="212" t="str">
        <f t="shared" si="1"/>
        <v/>
      </c>
      <c r="I19" s="213" t="str">
        <f>IF(F19="","",(SUM(G13*F19)))</f>
        <v/>
      </c>
      <c r="J19" s="214" t="str">
        <f t="shared" si="3"/>
        <v/>
      </c>
      <c r="K19" s="178"/>
      <c r="L19" s="178"/>
      <c r="M19" s="178"/>
      <c r="N19" s="178"/>
      <c r="O19" s="178"/>
      <c r="P19" s="178"/>
      <c r="Q19" s="178"/>
      <c r="R19" s="178"/>
      <c r="S19" s="178"/>
      <c r="T19" s="178"/>
      <c r="U19" s="178"/>
      <c r="V19" s="178"/>
      <c r="W19" s="178"/>
      <c r="X19" s="178"/>
      <c r="Y19" s="178"/>
      <c r="Z19" s="178"/>
      <c r="AA19" s="188"/>
    </row>
    <row r="20">
      <c r="A20" s="215" t="s">
        <v>155</v>
      </c>
      <c r="B20" s="216"/>
      <c r="C20" s="215" t="s">
        <v>130</v>
      </c>
      <c r="D20" s="215">
        <v>125000.0</v>
      </c>
      <c r="E20" s="217"/>
      <c r="F20" s="218" t="str">
        <f t="shared" si="2"/>
        <v/>
      </c>
      <c r="G20" s="219">
        <v>4200.0</v>
      </c>
      <c r="H20" s="219" t="str">
        <f t="shared" si="1"/>
        <v/>
      </c>
      <c r="I20" s="220" t="str">
        <f>IF(F20="","",(SUM(G13*F20)))</f>
        <v/>
      </c>
      <c r="J20" s="221" t="str">
        <f t="shared" si="3"/>
        <v/>
      </c>
      <c r="K20" s="178"/>
      <c r="L20" s="178"/>
      <c r="M20" s="178"/>
      <c r="N20" s="178"/>
      <c r="O20" s="178"/>
      <c r="P20" s="178"/>
      <c r="Q20" s="178"/>
      <c r="R20" s="178"/>
      <c r="S20" s="178"/>
      <c r="T20" s="178"/>
      <c r="U20" s="178"/>
      <c r="V20" s="178"/>
      <c r="W20" s="178"/>
      <c r="X20" s="178"/>
      <c r="Y20" s="178"/>
      <c r="Z20" s="178"/>
      <c r="AA20" s="188"/>
    </row>
    <row r="21">
      <c r="A21" s="208" t="s">
        <v>155</v>
      </c>
      <c r="B21" s="209"/>
      <c r="C21" s="208" t="s">
        <v>130</v>
      </c>
      <c r="D21" s="208">
        <v>125000.0</v>
      </c>
      <c r="E21" s="210"/>
      <c r="F21" s="211" t="str">
        <f t="shared" si="2"/>
        <v/>
      </c>
      <c r="G21" s="212">
        <v>4200.0</v>
      </c>
      <c r="H21" s="212" t="str">
        <f t="shared" si="1"/>
        <v/>
      </c>
      <c r="I21" s="213" t="str">
        <f>IF(F21="","",(SUM(G15*F21)))</f>
        <v/>
      </c>
      <c r="J21" s="214" t="str">
        <f t="shared" si="3"/>
        <v/>
      </c>
      <c r="K21" s="178"/>
      <c r="L21" s="178"/>
      <c r="M21" s="178"/>
      <c r="N21" s="178"/>
      <c r="O21" s="178"/>
      <c r="P21" s="178"/>
      <c r="Q21" s="178"/>
      <c r="R21" s="178"/>
      <c r="S21" s="178"/>
      <c r="T21" s="178"/>
      <c r="U21" s="178"/>
      <c r="V21" s="178"/>
      <c r="W21" s="178"/>
      <c r="X21" s="178"/>
      <c r="Y21" s="178"/>
      <c r="Z21" s="178"/>
      <c r="AA21" s="188"/>
    </row>
    <row r="22">
      <c r="A22" s="215" t="s">
        <v>155</v>
      </c>
      <c r="B22" s="216"/>
      <c r="C22" s="215" t="s">
        <v>130</v>
      </c>
      <c r="D22" s="215">
        <v>125000.0</v>
      </c>
      <c r="E22" s="217"/>
      <c r="F22" s="218" t="str">
        <f t="shared" si="2"/>
        <v/>
      </c>
      <c r="G22" s="219">
        <v>4200.0</v>
      </c>
      <c r="H22" s="219" t="str">
        <f t="shared" si="1"/>
        <v/>
      </c>
      <c r="I22" s="220" t="str">
        <f>IF(F22="","",(SUM(G15*F22)))</f>
        <v/>
      </c>
      <c r="J22" s="221" t="str">
        <f t="shared" si="3"/>
        <v/>
      </c>
      <c r="K22" s="178"/>
      <c r="L22" s="178"/>
      <c r="M22" s="178"/>
      <c r="N22" s="178"/>
      <c r="O22" s="178"/>
      <c r="P22" s="178"/>
      <c r="Q22" s="178"/>
      <c r="R22" s="178"/>
      <c r="S22" s="178"/>
      <c r="T22" s="178"/>
      <c r="U22" s="178"/>
      <c r="V22" s="178"/>
      <c r="W22" s="178"/>
      <c r="X22" s="178"/>
      <c r="Y22" s="178"/>
      <c r="Z22" s="178"/>
      <c r="AA22" s="188"/>
    </row>
    <row r="23">
      <c r="A23" s="222"/>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88"/>
    </row>
    <row r="24">
      <c r="A24" s="184" t="s">
        <v>146</v>
      </c>
      <c r="B24" s="185" t="s">
        <v>147</v>
      </c>
      <c r="C24" s="184" t="s">
        <v>148</v>
      </c>
      <c r="D24" s="184" t="s">
        <v>149</v>
      </c>
      <c r="E24" s="185" t="s">
        <v>150</v>
      </c>
      <c r="F24" s="186" t="s">
        <v>112</v>
      </c>
      <c r="G24" s="185" t="s">
        <v>151</v>
      </c>
      <c r="H24" s="187" t="s">
        <v>179</v>
      </c>
      <c r="I24" s="187" t="s">
        <v>153</v>
      </c>
      <c r="J24" s="185" t="s">
        <v>154</v>
      </c>
      <c r="K24" s="178"/>
      <c r="L24" s="178"/>
      <c r="M24" s="178"/>
      <c r="N24" s="178"/>
      <c r="O24" s="178"/>
      <c r="P24" s="178"/>
      <c r="Q24" s="178"/>
      <c r="R24" s="178"/>
      <c r="S24" s="178"/>
      <c r="T24" s="178"/>
      <c r="U24" s="178"/>
      <c r="V24" s="178"/>
      <c r="W24" s="178"/>
      <c r="X24" s="178"/>
      <c r="Y24" s="178"/>
      <c r="Z24" s="178"/>
      <c r="AA24" s="188"/>
    </row>
    <row r="25">
      <c r="A25" s="191" t="s">
        <v>180</v>
      </c>
      <c r="B25" s="190">
        <v>45762.0</v>
      </c>
      <c r="C25" s="191" t="s">
        <v>61</v>
      </c>
      <c r="D25" s="191">
        <v>100000.0</v>
      </c>
      <c r="E25" s="189">
        <v>0.0</v>
      </c>
      <c r="F25" s="189">
        <f>D25-E25</f>
        <v>100000</v>
      </c>
      <c r="G25" s="192">
        <v>3075.0</v>
      </c>
      <c r="H25" s="192">
        <f t="shared" ref="H25:H44" si="4">IF(E25="","",(SUM($G$3*E25)))</f>
        <v>0</v>
      </c>
      <c r="I25" s="193">
        <f>F25*G25</f>
        <v>307500000</v>
      </c>
      <c r="J25" s="194" t="str">
        <f>IF(OR(D25="",E25=""),"",IF(F25&lt;=0,"Closed","Open"))</f>
        <v>Open</v>
      </c>
      <c r="K25" s="178"/>
      <c r="L25" s="178"/>
      <c r="M25" s="178"/>
      <c r="N25" s="178"/>
      <c r="O25" s="178"/>
      <c r="P25" s="178"/>
      <c r="Q25" s="178"/>
      <c r="R25" s="178"/>
      <c r="S25" s="178"/>
      <c r="T25" s="178"/>
      <c r="U25" s="178"/>
      <c r="V25" s="178"/>
      <c r="W25" s="178"/>
      <c r="X25" s="178"/>
      <c r="Y25" s="178"/>
      <c r="Z25" s="178"/>
      <c r="AA25" s="188"/>
    </row>
    <row r="26">
      <c r="A26" s="191" t="s">
        <v>180</v>
      </c>
      <c r="B26" s="196"/>
      <c r="C26" s="191" t="s">
        <v>61</v>
      </c>
      <c r="D26" s="191">
        <v>100000.0</v>
      </c>
      <c r="E26" s="197"/>
      <c r="F26" s="198" t="str">
        <f t="shared" ref="F26:F44" si="5">IF(E26="","",(SUM(F25-E26)))</f>
        <v/>
      </c>
      <c r="G26" s="192">
        <v>3075.0</v>
      </c>
      <c r="H26" s="192" t="str">
        <f t="shared" si="4"/>
        <v/>
      </c>
      <c r="I26" s="199" t="str">
        <f>IF(F26="","",(SUM(G25*F26)))</f>
        <v/>
      </c>
      <c r="J26" s="200" t="str">
        <f t="shared" ref="J26:J44" si="6">IF(OR(F26="",E26=""),"",IF(F26&lt;=0,"Closed","Open"))</f>
        <v/>
      </c>
      <c r="K26" s="178"/>
      <c r="L26" s="178"/>
      <c r="M26" s="178"/>
      <c r="N26" s="178"/>
      <c r="O26" s="178"/>
      <c r="P26" s="178"/>
      <c r="Q26" s="178"/>
      <c r="R26" s="178"/>
      <c r="S26" s="178"/>
      <c r="T26" s="178"/>
      <c r="U26" s="178"/>
      <c r="V26" s="178"/>
      <c r="W26" s="178"/>
      <c r="X26" s="178"/>
      <c r="Y26" s="178"/>
      <c r="Z26" s="178"/>
      <c r="AA26" s="188"/>
    </row>
    <row r="27">
      <c r="A27" s="191" t="s">
        <v>180</v>
      </c>
      <c r="B27" s="201"/>
      <c r="C27" s="191" t="s">
        <v>61</v>
      </c>
      <c r="D27" s="191">
        <v>100000.0</v>
      </c>
      <c r="E27" s="202"/>
      <c r="F27" s="198" t="str">
        <f t="shared" si="5"/>
        <v/>
      </c>
      <c r="G27" s="192">
        <v>3075.0</v>
      </c>
      <c r="H27" s="192" t="str">
        <f t="shared" si="4"/>
        <v/>
      </c>
      <c r="I27" s="193" t="str">
        <f>IF(F27="","",(SUM(G25*F27)))</f>
        <v/>
      </c>
      <c r="J27" s="194" t="str">
        <f t="shared" si="6"/>
        <v/>
      </c>
      <c r="K27" s="178"/>
      <c r="L27" s="178"/>
      <c r="M27" s="178"/>
      <c r="N27" s="178"/>
      <c r="O27" s="178"/>
      <c r="P27" s="178"/>
      <c r="Q27" s="178"/>
      <c r="R27" s="178"/>
      <c r="S27" s="178"/>
      <c r="T27" s="178"/>
      <c r="U27" s="178"/>
      <c r="V27" s="178"/>
      <c r="W27" s="178"/>
      <c r="X27" s="178"/>
      <c r="Y27" s="178"/>
      <c r="Z27" s="178"/>
      <c r="AA27" s="188"/>
    </row>
    <row r="28">
      <c r="A28" s="191" t="s">
        <v>180</v>
      </c>
      <c r="B28" s="203"/>
      <c r="C28" s="191" t="s">
        <v>61</v>
      </c>
      <c r="D28" s="191">
        <v>100000.0</v>
      </c>
      <c r="E28" s="223"/>
      <c r="F28" s="198" t="str">
        <f t="shared" si="5"/>
        <v/>
      </c>
      <c r="G28" s="192">
        <v>3075.0</v>
      </c>
      <c r="H28" s="192" t="str">
        <f t="shared" si="4"/>
        <v/>
      </c>
      <c r="I28" s="205" t="str">
        <f>IF(F28="","",(SUM(G25*F28)))</f>
        <v/>
      </c>
      <c r="J28" s="205" t="str">
        <f t="shared" si="6"/>
        <v/>
      </c>
      <c r="K28" s="178"/>
      <c r="L28" s="178"/>
      <c r="M28" s="178"/>
      <c r="N28" s="178"/>
      <c r="O28" s="178"/>
      <c r="P28" s="178"/>
      <c r="Q28" s="178"/>
      <c r="R28" s="178"/>
      <c r="S28" s="178"/>
      <c r="T28" s="178"/>
      <c r="U28" s="178"/>
      <c r="V28" s="178"/>
      <c r="W28" s="178"/>
      <c r="X28" s="178"/>
      <c r="Y28" s="178"/>
      <c r="Z28" s="178"/>
      <c r="AA28" s="188"/>
    </row>
    <row r="29">
      <c r="A29" s="191" t="s">
        <v>180</v>
      </c>
      <c r="B29" s="201"/>
      <c r="C29" s="191" t="s">
        <v>61</v>
      </c>
      <c r="D29" s="191">
        <v>100000.0</v>
      </c>
      <c r="E29" s="224"/>
      <c r="F29" s="198" t="str">
        <f t="shared" si="5"/>
        <v/>
      </c>
      <c r="G29" s="192">
        <v>3075.0</v>
      </c>
      <c r="H29" s="192" t="str">
        <f t="shared" si="4"/>
        <v/>
      </c>
      <c r="I29" s="207" t="str">
        <f>IF(F29="","",(SUM(G25*F29)))</f>
        <v/>
      </c>
      <c r="J29" s="207" t="str">
        <f t="shared" si="6"/>
        <v/>
      </c>
      <c r="K29" s="178"/>
      <c r="L29" s="178"/>
      <c r="M29" s="178"/>
      <c r="N29" s="178"/>
      <c r="O29" s="178"/>
      <c r="P29" s="178"/>
      <c r="Q29" s="178"/>
      <c r="R29" s="178"/>
      <c r="S29" s="178"/>
      <c r="T29" s="178"/>
      <c r="U29" s="178"/>
      <c r="V29" s="178"/>
      <c r="W29" s="178"/>
      <c r="X29" s="178"/>
      <c r="Y29" s="178"/>
      <c r="Z29" s="178"/>
      <c r="AA29" s="188"/>
    </row>
    <row r="30">
      <c r="A30" s="191" t="s">
        <v>180</v>
      </c>
      <c r="B30" s="203"/>
      <c r="C30" s="191" t="s">
        <v>61</v>
      </c>
      <c r="D30" s="191">
        <v>100000.0</v>
      </c>
      <c r="E30" s="223"/>
      <c r="F30" s="198" t="str">
        <f t="shared" si="5"/>
        <v/>
      </c>
      <c r="G30" s="192">
        <v>3075.0</v>
      </c>
      <c r="H30" s="192" t="str">
        <f t="shared" si="4"/>
        <v/>
      </c>
      <c r="I30" s="205" t="str">
        <f>IF(F30="","",(SUM(G25*F30)))</f>
        <v/>
      </c>
      <c r="J30" s="205" t="str">
        <f t="shared" si="6"/>
        <v/>
      </c>
      <c r="K30" s="178"/>
      <c r="L30" s="178"/>
      <c r="M30" s="178"/>
      <c r="N30" s="178"/>
      <c r="O30" s="178"/>
      <c r="P30" s="178"/>
      <c r="Q30" s="178"/>
      <c r="R30" s="178"/>
      <c r="S30" s="178"/>
      <c r="T30" s="178"/>
      <c r="U30" s="178"/>
      <c r="V30" s="178"/>
      <c r="W30" s="178"/>
      <c r="X30" s="178"/>
      <c r="Y30" s="178"/>
      <c r="Z30" s="178"/>
      <c r="AA30" s="188"/>
    </row>
    <row r="31">
      <c r="A31" s="191" t="s">
        <v>180</v>
      </c>
      <c r="B31" s="201"/>
      <c r="C31" s="191" t="s">
        <v>61</v>
      </c>
      <c r="D31" s="191">
        <v>100000.0</v>
      </c>
      <c r="E31" s="224"/>
      <c r="F31" s="198" t="str">
        <f t="shared" si="5"/>
        <v/>
      </c>
      <c r="G31" s="192">
        <v>3075.0</v>
      </c>
      <c r="H31" s="192" t="str">
        <f t="shared" si="4"/>
        <v/>
      </c>
      <c r="I31" s="207" t="str">
        <f>IF(F31="","",(SUM(G25*F31)))</f>
        <v/>
      </c>
      <c r="J31" s="207" t="str">
        <f t="shared" si="6"/>
        <v/>
      </c>
      <c r="K31" s="178"/>
      <c r="L31" s="178"/>
      <c r="M31" s="178"/>
      <c r="N31" s="178"/>
      <c r="O31" s="178"/>
      <c r="P31" s="178"/>
      <c r="Q31" s="178"/>
      <c r="R31" s="178"/>
      <c r="S31" s="178"/>
      <c r="T31" s="178"/>
      <c r="U31" s="178"/>
      <c r="V31" s="178"/>
      <c r="W31" s="178"/>
      <c r="X31" s="178"/>
      <c r="Y31" s="178"/>
      <c r="Z31" s="178"/>
      <c r="AA31" s="188"/>
    </row>
    <row r="32">
      <c r="A32" s="191" t="s">
        <v>180</v>
      </c>
      <c r="B32" s="203"/>
      <c r="C32" s="191" t="s">
        <v>61</v>
      </c>
      <c r="D32" s="191">
        <v>100000.0</v>
      </c>
      <c r="E32" s="223"/>
      <c r="F32" s="198" t="str">
        <f t="shared" si="5"/>
        <v/>
      </c>
      <c r="G32" s="192">
        <v>3075.0</v>
      </c>
      <c r="H32" s="192" t="str">
        <f t="shared" si="4"/>
        <v/>
      </c>
      <c r="I32" s="205" t="str">
        <f>IF(F32="","",(SUM(G25*F32)))</f>
        <v/>
      </c>
      <c r="J32" s="205" t="str">
        <f t="shared" si="6"/>
        <v/>
      </c>
      <c r="K32" s="178"/>
      <c r="L32" s="178"/>
      <c r="M32" s="178"/>
      <c r="N32" s="178"/>
      <c r="O32" s="178"/>
      <c r="P32" s="178"/>
      <c r="Q32" s="178"/>
      <c r="R32" s="178"/>
      <c r="S32" s="178"/>
      <c r="T32" s="178"/>
      <c r="U32" s="178"/>
      <c r="V32" s="178"/>
      <c r="W32" s="178"/>
      <c r="X32" s="178"/>
      <c r="Y32" s="178"/>
      <c r="Z32" s="178"/>
      <c r="AA32" s="188"/>
    </row>
    <row r="33">
      <c r="A33" s="191" t="s">
        <v>180</v>
      </c>
      <c r="B33" s="201"/>
      <c r="C33" s="191" t="s">
        <v>61</v>
      </c>
      <c r="D33" s="191">
        <v>100000.0</v>
      </c>
      <c r="E33" s="224"/>
      <c r="F33" s="198" t="str">
        <f t="shared" si="5"/>
        <v/>
      </c>
      <c r="G33" s="192">
        <v>3075.0</v>
      </c>
      <c r="H33" s="192" t="str">
        <f t="shared" si="4"/>
        <v/>
      </c>
      <c r="I33" s="207" t="str">
        <f>IF(F33="","",(SUM(G27*F33)))</f>
        <v/>
      </c>
      <c r="J33" s="207" t="str">
        <f t="shared" si="6"/>
        <v/>
      </c>
      <c r="K33" s="178"/>
      <c r="L33" s="178"/>
      <c r="M33" s="178"/>
      <c r="N33" s="178"/>
      <c r="O33" s="178"/>
      <c r="P33" s="178"/>
      <c r="Q33" s="178"/>
      <c r="R33" s="178"/>
      <c r="S33" s="178"/>
      <c r="T33" s="178"/>
      <c r="U33" s="178"/>
      <c r="V33" s="178"/>
      <c r="W33" s="178"/>
      <c r="X33" s="178"/>
      <c r="Y33" s="178"/>
      <c r="Z33" s="178"/>
      <c r="AA33" s="188"/>
    </row>
    <row r="34">
      <c r="A34" s="191" t="s">
        <v>180</v>
      </c>
      <c r="B34" s="203"/>
      <c r="C34" s="191" t="s">
        <v>61</v>
      </c>
      <c r="D34" s="191">
        <v>100000.0</v>
      </c>
      <c r="E34" s="223"/>
      <c r="F34" s="198" t="str">
        <f t="shared" si="5"/>
        <v/>
      </c>
      <c r="G34" s="192">
        <v>3075.0</v>
      </c>
      <c r="H34" s="192" t="str">
        <f t="shared" si="4"/>
        <v/>
      </c>
      <c r="I34" s="205" t="str">
        <f>IF(F34="","",(SUM(G27*F34)))</f>
        <v/>
      </c>
      <c r="J34" s="205" t="str">
        <f t="shared" si="6"/>
        <v/>
      </c>
      <c r="K34" s="178"/>
      <c r="L34" s="178"/>
      <c r="M34" s="178"/>
      <c r="N34" s="178"/>
      <c r="O34" s="178"/>
      <c r="P34" s="178"/>
      <c r="Q34" s="178"/>
      <c r="R34" s="178"/>
      <c r="S34" s="178"/>
      <c r="T34" s="178"/>
      <c r="U34" s="178"/>
      <c r="V34" s="178"/>
      <c r="W34" s="178"/>
      <c r="X34" s="178"/>
      <c r="Y34" s="178"/>
      <c r="Z34" s="178"/>
      <c r="AA34" s="188"/>
    </row>
    <row r="35">
      <c r="A35" s="191" t="s">
        <v>180</v>
      </c>
      <c r="B35" s="209"/>
      <c r="C35" s="191" t="s">
        <v>61</v>
      </c>
      <c r="D35" s="191">
        <v>100000.0</v>
      </c>
      <c r="E35" s="210"/>
      <c r="F35" s="211" t="str">
        <f t="shared" si="5"/>
        <v/>
      </c>
      <c r="G35" s="192">
        <v>3075.0</v>
      </c>
      <c r="H35" s="212" t="str">
        <f t="shared" si="4"/>
        <v/>
      </c>
      <c r="I35" s="213" t="str">
        <f>IF(F35="","",(SUM(G29*F35)))</f>
        <v/>
      </c>
      <c r="J35" s="214" t="str">
        <f t="shared" si="6"/>
        <v/>
      </c>
      <c r="K35" s="178"/>
      <c r="L35" s="178"/>
      <c r="M35" s="178"/>
      <c r="N35" s="178"/>
      <c r="O35" s="178"/>
      <c r="P35" s="178"/>
      <c r="Q35" s="178"/>
      <c r="R35" s="178"/>
      <c r="S35" s="178"/>
      <c r="T35" s="178"/>
      <c r="U35" s="178"/>
      <c r="V35" s="178"/>
      <c r="W35" s="178"/>
      <c r="X35" s="178"/>
      <c r="Y35" s="178"/>
      <c r="Z35" s="178"/>
      <c r="AA35" s="188"/>
    </row>
    <row r="36">
      <c r="A36" s="191" t="s">
        <v>180</v>
      </c>
      <c r="B36" s="216"/>
      <c r="C36" s="191" t="s">
        <v>61</v>
      </c>
      <c r="D36" s="191">
        <v>100000.0</v>
      </c>
      <c r="E36" s="217"/>
      <c r="F36" s="218" t="str">
        <f t="shared" si="5"/>
        <v/>
      </c>
      <c r="G36" s="192">
        <v>3075.0</v>
      </c>
      <c r="H36" s="219" t="str">
        <f t="shared" si="4"/>
        <v/>
      </c>
      <c r="I36" s="220" t="str">
        <f>IF(F36="","",(SUM(G29*F36)))</f>
        <v/>
      </c>
      <c r="J36" s="221" t="str">
        <f t="shared" si="6"/>
        <v/>
      </c>
      <c r="K36" s="178"/>
      <c r="L36" s="178"/>
      <c r="M36" s="178"/>
      <c r="N36" s="178"/>
      <c r="O36" s="178"/>
      <c r="P36" s="178"/>
      <c r="Q36" s="178"/>
      <c r="R36" s="178"/>
      <c r="S36" s="178"/>
      <c r="T36" s="178"/>
      <c r="U36" s="178"/>
      <c r="V36" s="178"/>
      <c r="W36" s="178"/>
      <c r="X36" s="178"/>
      <c r="Y36" s="178"/>
      <c r="Z36" s="178"/>
      <c r="AA36" s="188"/>
    </row>
    <row r="37">
      <c r="A37" s="191" t="s">
        <v>180</v>
      </c>
      <c r="B37" s="209"/>
      <c r="C37" s="191" t="s">
        <v>61</v>
      </c>
      <c r="D37" s="191">
        <v>100000.0</v>
      </c>
      <c r="E37" s="210"/>
      <c r="F37" s="211" t="str">
        <f t="shared" si="5"/>
        <v/>
      </c>
      <c r="G37" s="192">
        <v>3075.0</v>
      </c>
      <c r="H37" s="212" t="str">
        <f t="shared" si="4"/>
        <v/>
      </c>
      <c r="I37" s="213" t="str">
        <f>IF(F37="","",(SUM(G31*F37)))</f>
        <v/>
      </c>
      <c r="J37" s="214" t="str">
        <f t="shared" si="6"/>
        <v/>
      </c>
      <c r="K37" s="178"/>
      <c r="L37" s="178"/>
      <c r="M37" s="178"/>
      <c r="N37" s="178"/>
      <c r="O37" s="178"/>
      <c r="P37" s="178"/>
      <c r="Q37" s="178"/>
      <c r="R37" s="178"/>
      <c r="S37" s="178"/>
      <c r="T37" s="178"/>
      <c r="U37" s="178"/>
      <c r="V37" s="178"/>
      <c r="W37" s="178"/>
      <c r="X37" s="178"/>
      <c r="Y37" s="178"/>
      <c r="Z37" s="178"/>
      <c r="AA37" s="188"/>
    </row>
    <row r="38">
      <c r="A38" s="191" t="s">
        <v>180</v>
      </c>
      <c r="B38" s="216"/>
      <c r="C38" s="191" t="s">
        <v>61</v>
      </c>
      <c r="D38" s="191">
        <v>100000.0</v>
      </c>
      <c r="E38" s="217"/>
      <c r="F38" s="218" t="str">
        <f t="shared" si="5"/>
        <v/>
      </c>
      <c r="G38" s="192">
        <v>3075.0</v>
      </c>
      <c r="H38" s="219" t="str">
        <f t="shared" si="4"/>
        <v/>
      </c>
      <c r="I38" s="220" t="str">
        <f>IF(F38="","",(SUM(G31*F38)))</f>
        <v/>
      </c>
      <c r="J38" s="221" t="str">
        <f t="shared" si="6"/>
        <v/>
      </c>
      <c r="K38" s="178"/>
      <c r="L38" s="178"/>
      <c r="M38" s="178"/>
      <c r="N38" s="178"/>
      <c r="O38" s="178"/>
      <c r="P38" s="178"/>
      <c r="Q38" s="178"/>
      <c r="R38" s="178"/>
      <c r="S38" s="178"/>
      <c r="T38" s="178"/>
      <c r="U38" s="178"/>
      <c r="V38" s="178"/>
      <c r="W38" s="178"/>
      <c r="X38" s="178"/>
      <c r="Y38" s="178"/>
      <c r="Z38" s="178"/>
      <c r="AA38" s="188"/>
    </row>
    <row r="39">
      <c r="A39" s="191" t="s">
        <v>180</v>
      </c>
      <c r="B39" s="209"/>
      <c r="C39" s="191" t="s">
        <v>61</v>
      </c>
      <c r="D39" s="191">
        <v>100000.0</v>
      </c>
      <c r="E39" s="210"/>
      <c r="F39" s="211" t="str">
        <f t="shared" si="5"/>
        <v/>
      </c>
      <c r="G39" s="192">
        <v>3075.0</v>
      </c>
      <c r="H39" s="212" t="str">
        <f t="shared" si="4"/>
        <v/>
      </c>
      <c r="I39" s="213" t="str">
        <f>IF(F39="","",(SUM(G33*F39)))</f>
        <v/>
      </c>
      <c r="J39" s="214" t="str">
        <f t="shared" si="6"/>
        <v/>
      </c>
      <c r="K39" s="178"/>
      <c r="L39" s="178"/>
      <c r="M39" s="178"/>
      <c r="N39" s="178"/>
      <c r="O39" s="178"/>
      <c r="P39" s="178"/>
      <c r="Q39" s="178"/>
      <c r="R39" s="178"/>
      <c r="S39" s="178"/>
      <c r="T39" s="178"/>
      <c r="U39" s="178"/>
      <c r="V39" s="178"/>
      <c r="W39" s="178"/>
      <c r="X39" s="178"/>
      <c r="Y39" s="178"/>
      <c r="Z39" s="178"/>
      <c r="AA39" s="188"/>
    </row>
    <row r="40">
      <c r="A40" s="191" t="s">
        <v>180</v>
      </c>
      <c r="B40" s="216"/>
      <c r="C40" s="191" t="s">
        <v>61</v>
      </c>
      <c r="D40" s="191">
        <v>100000.0</v>
      </c>
      <c r="E40" s="217"/>
      <c r="F40" s="218" t="str">
        <f t="shared" si="5"/>
        <v/>
      </c>
      <c r="G40" s="192">
        <v>3075.0</v>
      </c>
      <c r="H40" s="219" t="str">
        <f t="shared" si="4"/>
        <v/>
      </c>
      <c r="I40" s="220" t="str">
        <f>IF(F40="","",(SUM(G33*F40)))</f>
        <v/>
      </c>
      <c r="J40" s="221" t="str">
        <f t="shared" si="6"/>
        <v/>
      </c>
      <c r="K40" s="178"/>
      <c r="L40" s="178"/>
      <c r="M40" s="178"/>
      <c r="N40" s="178"/>
      <c r="O40" s="178"/>
      <c r="P40" s="178"/>
      <c r="Q40" s="178"/>
      <c r="R40" s="178"/>
      <c r="S40" s="178"/>
      <c r="T40" s="178"/>
      <c r="U40" s="178"/>
      <c r="V40" s="178"/>
      <c r="W40" s="178"/>
      <c r="X40" s="178"/>
      <c r="Y40" s="178"/>
      <c r="Z40" s="178"/>
      <c r="AA40" s="188"/>
    </row>
    <row r="41">
      <c r="A41" s="191" t="s">
        <v>180</v>
      </c>
      <c r="B41" s="209"/>
      <c r="C41" s="191" t="s">
        <v>61</v>
      </c>
      <c r="D41" s="191">
        <v>100000.0</v>
      </c>
      <c r="E41" s="210"/>
      <c r="F41" s="211" t="str">
        <f t="shared" si="5"/>
        <v/>
      </c>
      <c r="G41" s="192">
        <v>3075.0</v>
      </c>
      <c r="H41" s="212" t="str">
        <f t="shared" si="4"/>
        <v/>
      </c>
      <c r="I41" s="213" t="str">
        <f>IF(F41="","",(SUM(G35*F41)))</f>
        <v/>
      </c>
      <c r="J41" s="214" t="str">
        <f t="shared" si="6"/>
        <v/>
      </c>
      <c r="K41" s="178"/>
      <c r="L41" s="178"/>
      <c r="M41" s="178"/>
      <c r="N41" s="178"/>
      <c r="O41" s="178"/>
      <c r="P41" s="178"/>
      <c r="Q41" s="178"/>
      <c r="R41" s="178"/>
      <c r="S41" s="178"/>
      <c r="T41" s="178"/>
      <c r="U41" s="178"/>
      <c r="V41" s="178"/>
      <c r="W41" s="178"/>
      <c r="X41" s="178"/>
      <c r="Y41" s="178"/>
      <c r="Z41" s="178"/>
      <c r="AA41" s="188"/>
    </row>
    <row r="42">
      <c r="A42" s="191" t="s">
        <v>180</v>
      </c>
      <c r="B42" s="216"/>
      <c r="C42" s="191" t="s">
        <v>61</v>
      </c>
      <c r="D42" s="191">
        <v>100000.0</v>
      </c>
      <c r="E42" s="217"/>
      <c r="F42" s="218" t="str">
        <f t="shared" si="5"/>
        <v/>
      </c>
      <c r="G42" s="192">
        <v>3075.0</v>
      </c>
      <c r="H42" s="219" t="str">
        <f t="shared" si="4"/>
        <v/>
      </c>
      <c r="I42" s="220" t="str">
        <f>IF(F42="","",(SUM(G35*F42)))</f>
        <v/>
      </c>
      <c r="J42" s="221" t="str">
        <f t="shared" si="6"/>
        <v/>
      </c>
      <c r="K42" s="178"/>
      <c r="L42" s="178"/>
      <c r="M42" s="178"/>
      <c r="N42" s="178"/>
      <c r="O42" s="178"/>
      <c r="P42" s="178"/>
      <c r="Q42" s="178"/>
      <c r="R42" s="178"/>
      <c r="S42" s="178"/>
      <c r="T42" s="178"/>
      <c r="U42" s="178"/>
      <c r="V42" s="178"/>
      <c r="W42" s="178"/>
      <c r="X42" s="178"/>
      <c r="Y42" s="178"/>
      <c r="Z42" s="178"/>
      <c r="AA42" s="188"/>
    </row>
    <row r="43">
      <c r="A43" s="191" t="s">
        <v>180</v>
      </c>
      <c r="B43" s="209"/>
      <c r="C43" s="191" t="s">
        <v>61</v>
      </c>
      <c r="D43" s="191">
        <v>100000.0</v>
      </c>
      <c r="E43" s="210"/>
      <c r="F43" s="211" t="str">
        <f t="shared" si="5"/>
        <v/>
      </c>
      <c r="G43" s="192">
        <v>3075.0</v>
      </c>
      <c r="H43" s="212" t="str">
        <f t="shared" si="4"/>
        <v/>
      </c>
      <c r="I43" s="213" t="str">
        <f>IF(F43="","",(SUM(G37*F43)))</f>
        <v/>
      </c>
      <c r="J43" s="214" t="str">
        <f t="shared" si="6"/>
        <v/>
      </c>
      <c r="K43" s="178"/>
      <c r="L43" s="178"/>
      <c r="M43" s="178"/>
      <c r="N43" s="178"/>
      <c r="O43" s="178"/>
      <c r="P43" s="178"/>
      <c r="Q43" s="178"/>
      <c r="R43" s="178"/>
      <c r="S43" s="178"/>
      <c r="T43" s="178"/>
      <c r="U43" s="178"/>
      <c r="V43" s="178"/>
      <c r="W43" s="178"/>
      <c r="X43" s="178"/>
      <c r="Y43" s="178"/>
      <c r="Z43" s="178"/>
      <c r="AA43" s="188"/>
    </row>
    <row r="44">
      <c r="A44" s="191" t="s">
        <v>180</v>
      </c>
      <c r="B44" s="216"/>
      <c r="C44" s="191" t="s">
        <v>61</v>
      </c>
      <c r="D44" s="191">
        <v>100000.0</v>
      </c>
      <c r="E44" s="217"/>
      <c r="F44" s="218" t="str">
        <f t="shared" si="5"/>
        <v/>
      </c>
      <c r="G44" s="192">
        <v>3075.0</v>
      </c>
      <c r="H44" s="219" t="str">
        <f t="shared" si="4"/>
        <v/>
      </c>
      <c r="I44" s="220" t="str">
        <f>IF(F44="","",(SUM(G37*F44)))</f>
        <v/>
      </c>
      <c r="J44" s="221" t="str">
        <f t="shared" si="6"/>
        <v/>
      </c>
      <c r="K44" s="178"/>
      <c r="L44" s="178"/>
      <c r="M44" s="178"/>
      <c r="N44" s="178"/>
      <c r="O44" s="178"/>
      <c r="P44" s="178"/>
      <c r="Q44" s="178"/>
      <c r="R44" s="178"/>
      <c r="S44" s="178"/>
      <c r="T44" s="178"/>
      <c r="U44" s="178"/>
      <c r="V44" s="178"/>
      <c r="W44" s="178"/>
      <c r="X44" s="178"/>
      <c r="Y44" s="178"/>
      <c r="Z44" s="178"/>
      <c r="AA44" s="188"/>
    </row>
    <row r="45">
      <c r="K45" s="178"/>
      <c r="L45" s="178"/>
      <c r="M45" s="178"/>
      <c r="N45" s="178"/>
      <c r="O45" s="178"/>
      <c r="P45" s="178"/>
      <c r="Q45" s="178"/>
      <c r="R45" s="178"/>
      <c r="S45" s="178"/>
      <c r="T45" s="178"/>
      <c r="U45" s="178"/>
      <c r="V45" s="178"/>
      <c r="W45" s="178"/>
      <c r="X45" s="178"/>
      <c r="Y45" s="178"/>
      <c r="Z45" s="178"/>
      <c r="AA45" s="188"/>
    </row>
    <row r="46">
      <c r="K46" s="178"/>
      <c r="L46" s="178"/>
      <c r="M46" s="178"/>
      <c r="N46" s="178"/>
      <c r="O46" s="178"/>
      <c r="P46" s="178"/>
      <c r="Q46" s="178"/>
      <c r="R46" s="178"/>
      <c r="S46" s="178"/>
      <c r="T46" s="178"/>
      <c r="U46" s="178"/>
      <c r="V46" s="178"/>
      <c r="W46" s="178"/>
      <c r="X46" s="178"/>
      <c r="Y46" s="178"/>
      <c r="Z46" s="178"/>
      <c r="AA46" s="188"/>
    </row>
    <row r="47">
      <c r="A47" s="222"/>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88"/>
    </row>
    <row r="48">
      <c r="A48" s="222"/>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88"/>
    </row>
    <row r="49">
      <c r="A49" s="222"/>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88"/>
    </row>
    <row r="50">
      <c r="A50" s="184" t="s">
        <v>146</v>
      </c>
      <c r="B50" s="185" t="s">
        <v>147</v>
      </c>
      <c r="C50" s="184" t="s">
        <v>148</v>
      </c>
      <c r="D50" s="184" t="s">
        <v>149</v>
      </c>
      <c r="E50" s="185" t="s">
        <v>150</v>
      </c>
      <c r="F50" s="186" t="s">
        <v>112</v>
      </c>
      <c r="G50" s="185" t="s">
        <v>151</v>
      </c>
      <c r="H50" s="187" t="s">
        <v>179</v>
      </c>
      <c r="I50" s="187" t="s">
        <v>153</v>
      </c>
      <c r="J50" s="185" t="s">
        <v>154</v>
      </c>
      <c r="K50" s="178"/>
      <c r="L50" s="178"/>
      <c r="M50" s="178"/>
      <c r="N50" s="178"/>
      <c r="O50" s="178"/>
      <c r="P50" s="178"/>
      <c r="Q50" s="178"/>
      <c r="R50" s="178"/>
      <c r="S50" s="178"/>
      <c r="T50" s="178"/>
      <c r="U50" s="178"/>
      <c r="V50" s="178"/>
      <c r="W50" s="178"/>
      <c r="X50" s="178"/>
      <c r="Y50" s="178"/>
      <c r="Z50" s="178"/>
      <c r="AA50" s="188"/>
    </row>
    <row r="51">
      <c r="A51" s="191" t="s">
        <v>181</v>
      </c>
      <c r="B51" s="190">
        <v>45769.0</v>
      </c>
      <c r="C51" s="191" t="s">
        <v>130</v>
      </c>
      <c r="D51" s="191">
        <v>243500.0</v>
      </c>
      <c r="E51" s="189">
        <v>0.0</v>
      </c>
      <c r="F51" s="189">
        <f>D51-E51</f>
        <v>243500</v>
      </c>
      <c r="G51" s="192">
        <v>4200.0</v>
      </c>
      <c r="H51" s="192">
        <f t="shared" ref="H51:H70" si="7">IF(E51="","",(SUM($G$3*E51)))</f>
        <v>0</v>
      </c>
      <c r="I51" s="193">
        <f>F51*G51</f>
        <v>1022700000</v>
      </c>
      <c r="J51" s="194" t="str">
        <f>IF(OR(D51="",E51=""),"",IF(F51&lt;=0,"Closed","Open"))</f>
        <v>Open</v>
      </c>
      <c r="K51" s="178"/>
      <c r="L51" s="178"/>
      <c r="M51" s="178"/>
      <c r="N51" s="178"/>
      <c r="O51" s="178"/>
      <c r="P51" s="178"/>
      <c r="Q51" s="178"/>
      <c r="R51" s="178"/>
      <c r="S51" s="178"/>
      <c r="T51" s="178"/>
      <c r="U51" s="178"/>
      <c r="V51" s="178"/>
      <c r="W51" s="178"/>
      <c r="X51" s="178"/>
      <c r="Y51" s="178"/>
      <c r="Z51" s="178"/>
      <c r="AA51" s="188"/>
    </row>
    <row r="52">
      <c r="A52" s="191" t="s">
        <v>181</v>
      </c>
      <c r="B52" s="196"/>
      <c r="C52" s="191" t="s">
        <v>130</v>
      </c>
      <c r="D52" s="191">
        <v>243500.0</v>
      </c>
      <c r="E52" s="197"/>
      <c r="F52" s="198" t="str">
        <f t="shared" ref="F52:F70" si="8">IF(E52="","",(SUM(F51-E52)))</f>
        <v/>
      </c>
      <c r="G52" s="192">
        <v>4200.0</v>
      </c>
      <c r="H52" s="192" t="str">
        <f t="shared" si="7"/>
        <v/>
      </c>
      <c r="I52" s="199" t="str">
        <f>IF(F52="","",(SUM(G51*F52)))</f>
        <v/>
      </c>
      <c r="J52" s="200" t="str">
        <f t="shared" ref="J52:J70" si="9">IF(OR(F52="",E52=""),"",IF(F52&lt;=0,"Closed","Open"))</f>
        <v/>
      </c>
      <c r="K52" s="178"/>
      <c r="L52" s="178"/>
      <c r="M52" s="178"/>
      <c r="N52" s="178"/>
      <c r="O52" s="178"/>
      <c r="P52" s="178"/>
      <c r="Q52" s="178"/>
      <c r="R52" s="178"/>
      <c r="S52" s="178"/>
      <c r="T52" s="178"/>
      <c r="U52" s="178"/>
      <c r="V52" s="178"/>
      <c r="W52" s="178"/>
      <c r="X52" s="178"/>
      <c r="Y52" s="178"/>
      <c r="Z52" s="178"/>
      <c r="AA52" s="188"/>
    </row>
    <row r="53">
      <c r="A53" s="191" t="s">
        <v>181</v>
      </c>
      <c r="B53" s="201"/>
      <c r="C53" s="191" t="s">
        <v>130</v>
      </c>
      <c r="D53" s="191">
        <v>243500.0</v>
      </c>
      <c r="E53" s="202"/>
      <c r="F53" s="198" t="str">
        <f t="shared" si="8"/>
        <v/>
      </c>
      <c r="G53" s="192">
        <v>4200.0</v>
      </c>
      <c r="H53" s="192" t="str">
        <f t="shared" si="7"/>
        <v/>
      </c>
      <c r="I53" s="193" t="str">
        <f>IF(F53="","",(SUM(G51*F53)))</f>
        <v/>
      </c>
      <c r="J53" s="194" t="str">
        <f t="shared" si="9"/>
        <v/>
      </c>
      <c r="K53" s="178"/>
      <c r="L53" s="178"/>
      <c r="M53" s="178"/>
      <c r="N53" s="178"/>
      <c r="O53" s="178"/>
      <c r="P53" s="178"/>
      <c r="Q53" s="178"/>
      <c r="R53" s="178"/>
      <c r="S53" s="178"/>
      <c r="T53" s="178"/>
      <c r="U53" s="178"/>
      <c r="V53" s="178"/>
      <c r="W53" s="178"/>
      <c r="X53" s="178"/>
      <c r="Y53" s="178"/>
      <c r="Z53" s="178"/>
      <c r="AA53" s="188"/>
    </row>
    <row r="54">
      <c r="A54" s="191" t="s">
        <v>181</v>
      </c>
      <c r="B54" s="203"/>
      <c r="C54" s="191" t="s">
        <v>130</v>
      </c>
      <c r="D54" s="191">
        <v>243500.0</v>
      </c>
      <c r="E54" s="223"/>
      <c r="F54" s="198" t="str">
        <f t="shared" si="8"/>
        <v/>
      </c>
      <c r="G54" s="192">
        <v>4200.0</v>
      </c>
      <c r="H54" s="192" t="str">
        <f t="shared" si="7"/>
        <v/>
      </c>
      <c r="I54" s="205" t="str">
        <f>IF(F54="","",(SUM(G51*F54)))</f>
        <v/>
      </c>
      <c r="J54" s="205" t="str">
        <f t="shared" si="9"/>
        <v/>
      </c>
      <c r="K54" s="178"/>
      <c r="L54" s="178"/>
      <c r="M54" s="178"/>
      <c r="N54" s="178"/>
      <c r="O54" s="178"/>
      <c r="P54" s="178"/>
      <c r="Q54" s="178"/>
      <c r="R54" s="178"/>
      <c r="S54" s="178"/>
      <c r="T54" s="178"/>
      <c r="U54" s="178"/>
      <c r="V54" s="178"/>
      <c r="W54" s="178"/>
      <c r="X54" s="178"/>
      <c r="Y54" s="178"/>
      <c r="Z54" s="178"/>
      <c r="AA54" s="188"/>
    </row>
    <row r="55">
      <c r="A55" s="191" t="s">
        <v>181</v>
      </c>
      <c r="B55" s="201"/>
      <c r="C55" s="191" t="s">
        <v>130</v>
      </c>
      <c r="D55" s="191">
        <v>243500.0</v>
      </c>
      <c r="E55" s="224"/>
      <c r="F55" s="198" t="str">
        <f t="shared" si="8"/>
        <v/>
      </c>
      <c r="G55" s="192">
        <v>4200.0</v>
      </c>
      <c r="H55" s="192" t="str">
        <f t="shared" si="7"/>
        <v/>
      </c>
      <c r="I55" s="207" t="str">
        <f>IF(F55="","",(SUM(G51*F55)))</f>
        <v/>
      </c>
      <c r="J55" s="207" t="str">
        <f t="shared" si="9"/>
        <v/>
      </c>
      <c r="K55" s="178"/>
      <c r="L55" s="178"/>
      <c r="M55" s="178"/>
      <c r="N55" s="178"/>
      <c r="O55" s="178"/>
      <c r="P55" s="178"/>
      <c r="Q55" s="178"/>
      <c r="R55" s="178"/>
      <c r="S55" s="178"/>
      <c r="T55" s="178"/>
      <c r="U55" s="178"/>
      <c r="V55" s="178"/>
      <c r="W55" s="178"/>
      <c r="X55" s="178"/>
      <c r="Y55" s="178"/>
      <c r="Z55" s="178"/>
      <c r="AA55" s="188"/>
    </row>
    <row r="56">
      <c r="A56" s="191" t="s">
        <v>181</v>
      </c>
      <c r="B56" s="203"/>
      <c r="C56" s="191" t="s">
        <v>130</v>
      </c>
      <c r="D56" s="191">
        <v>243500.0</v>
      </c>
      <c r="E56" s="223"/>
      <c r="F56" s="198" t="str">
        <f t="shared" si="8"/>
        <v/>
      </c>
      <c r="G56" s="192">
        <v>4200.0</v>
      </c>
      <c r="H56" s="192" t="str">
        <f t="shared" si="7"/>
        <v/>
      </c>
      <c r="I56" s="205" t="str">
        <f>IF(F56="","",(SUM(G51*F56)))</f>
        <v/>
      </c>
      <c r="J56" s="205" t="str">
        <f t="shared" si="9"/>
        <v/>
      </c>
      <c r="K56" s="178"/>
      <c r="L56" s="178"/>
      <c r="M56" s="178"/>
      <c r="N56" s="178"/>
      <c r="O56" s="178"/>
      <c r="P56" s="178"/>
      <c r="Q56" s="178"/>
      <c r="R56" s="178"/>
      <c r="S56" s="178"/>
      <c r="T56" s="178"/>
      <c r="U56" s="178"/>
      <c r="V56" s="178"/>
      <c r="W56" s="178"/>
      <c r="X56" s="178"/>
      <c r="Y56" s="178"/>
      <c r="Z56" s="178"/>
      <c r="AA56" s="188"/>
    </row>
    <row r="57">
      <c r="A57" s="191" t="s">
        <v>181</v>
      </c>
      <c r="B57" s="201"/>
      <c r="C57" s="191" t="s">
        <v>130</v>
      </c>
      <c r="D57" s="191">
        <v>243500.0</v>
      </c>
      <c r="E57" s="224"/>
      <c r="F57" s="198" t="str">
        <f t="shared" si="8"/>
        <v/>
      </c>
      <c r="G57" s="192">
        <v>4200.0</v>
      </c>
      <c r="H57" s="192" t="str">
        <f t="shared" si="7"/>
        <v/>
      </c>
      <c r="I57" s="207" t="str">
        <f>IF(F57="","",(SUM(G51*F57)))</f>
        <v/>
      </c>
      <c r="J57" s="207" t="str">
        <f t="shared" si="9"/>
        <v/>
      </c>
      <c r="K57" s="178"/>
      <c r="L57" s="178"/>
      <c r="M57" s="178"/>
      <c r="N57" s="178"/>
      <c r="O57" s="178"/>
      <c r="P57" s="178"/>
      <c r="Q57" s="178"/>
      <c r="R57" s="178"/>
      <c r="S57" s="178"/>
      <c r="T57" s="178"/>
      <c r="U57" s="178"/>
      <c r="V57" s="178"/>
      <c r="W57" s="178"/>
      <c r="X57" s="178"/>
      <c r="Y57" s="178"/>
      <c r="Z57" s="178"/>
      <c r="AA57" s="188"/>
    </row>
    <row r="58">
      <c r="A58" s="191" t="s">
        <v>181</v>
      </c>
      <c r="B58" s="203"/>
      <c r="C58" s="191" t="s">
        <v>130</v>
      </c>
      <c r="D58" s="191">
        <v>243500.0</v>
      </c>
      <c r="E58" s="223"/>
      <c r="F58" s="198" t="str">
        <f t="shared" si="8"/>
        <v/>
      </c>
      <c r="G58" s="192">
        <v>4200.0</v>
      </c>
      <c r="H58" s="192" t="str">
        <f t="shared" si="7"/>
        <v/>
      </c>
      <c r="I58" s="205" t="str">
        <f>IF(F58="","",(SUM(G51*F58)))</f>
        <v/>
      </c>
      <c r="J58" s="205" t="str">
        <f t="shared" si="9"/>
        <v/>
      </c>
      <c r="K58" s="178"/>
      <c r="L58" s="178"/>
      <c r="M58" s="178"/>
      <c r="N58" s="178"/>
      <c r="O58" s="178"/>
      <c r="P58" s="178"/>
      <c r="Q58" s="178"/>
      <c r="R58" s="178"/>
      <c r="S58" s="178"/>
      <c r="T58" s="178"/>
      <c r="U58" s="178"/>
      <c r="V58" s="178"/>
      <c r="W58" s="178"/>
      <c r="X58" s="178"/>
      <c r="Y58" s="178"/>
      <c r="Z58" s="178"/>
      <c r="AA58" s="188"/>
    </row>
    <row r="59">
      <c r="A59" s="191" t="s">
        <v>181</v>
      </c>
      <c r="B59" s="201"/>
      <c r="C59" s="191" t="s">
        <v>130</v>
      </c>
      <c r="D59" s="191">
        <v>243500.0</v>
      </c>
      <c r="E59" s="224"/>
      <c r="F59" s="198" t="str">
        <f t="shared" si="8"/>
        <v/>
      </c>
      <c r="G59" s="192">
        <v>4200.0</v>
      </c>
      <c r="H59" s="192" t="str">
        <f t="shared" si="7"/>
        <v/>
      </c>
      <c r="I59" s="207" t="str">
        <f>IF(F59="","",(SUM(G53*F59)))</f>
        <v/>
      </c>
      <c r="J59" s="207" t="str">
        <f t="shared" si="9"/>
        <v/>
      </c>
      <c r="K59" s="178"/>
      <c r="L59" s="178"/>
      <c r="M59" s="178"/>
      <c r="N59" s="178"/>
      <c r="O59" s="178"/>
      <c r="P59" s="178"/>
      <c r="Q59" s="178"/>
      <c r="R59" s="178"/>
      <c r="S59" s="178"/>
      <c r="T59" s="178"/>
      <c r="U59" s="178"/>
      <c r="V59" s="178"/>
      <c r="W59" s="178"/>
      <c r="X59" s="178"/>
      <c r="Y59" s="178"/>
      <c r="Z59" s="178"/>
      <c r="AA59" s="188"/>
    </row>
    <row r="60">
      <c r="A60" s="191" t="s">
        <v>181</v>
      </c>
      <c r="B60" s="203"/>
      <c r="C60" s="191" t="s">
        <v>130</v>
      </c>
      <c r="D60" s="191">
        <v>243500.0</v>
      </c>
      <c r="E60" s="223"/>
      <c r="F60" s="198" t="str">
        <f t="shared" si="8"/>
        <v/>
      </c>
      <c r="G60" s="192">
        <v>4200.0</v>
      </c>
      <c r="H60" s="192" t="str">
        <f t="shared" si="7"/>
        <v/>
      </c>
      <c r="I60" s="205" t="str">
        <f>IF(F60="","",(SUM(G53*F60)))</f>
        <v/>
      </c>
      <c r="J60" s="205" t="str">
        <f t="shared" si="9"/>
        <v/>
      </c>
      <c r="K60" s="178"/>
      <c r="L60" s="178"/>
      <c r="M60" s="178"/>
      <c r="N60" s="178"/>
      <c r="O60" s="178"/>
      <c r="P60" s="178"/>
      <c r="Q60" s="178"/>
      <c r="R60" s="178"/>
      <c r="S60" s="178"/>
      <c r="T60" s="178"/>
      <c r="U60" s="178"/>
      <c r="V60" s="178"/>
      <c r="W60" s="178"/>
      <c r="X60" s="178"/>
      <c r="Y60" s="178"/>
      <c r="Z60" s="178"/>
      <c r="AA60" s="188"/>
    </row>
    <row r="61">
      <c r="A61" s="191" t="s">
        <v>181</v>
      </c>
      <c r="B61" s="209"/>
      <c r="C61" s="208" t="s">
        <v>130</v>
      </c>
      <c r="D61" s="191">
        <v>243500.0</v>
      </c>
      <c r="E61" s="210"/>
      <c r="F61" s="211" t="str">
        <f t="shared" si="8"/>
        <v/>
      </c>
      <c r="G61" s="212">
        <v>4200.0</v>
      </c>
      <c r="H61" s="212" t="str">
        <f t="shared" si="7"/>
        <v/>
      </c>
      <c r="I61" s="213" t="str">
        <f>IF(F61="","",(SUM(G55*F61)))</f>
        <v/>
      </c>
      <c r="J61" s="214" t="str">
        <f t="shared" si="9"/>
        <v/>
      </c>
      <c r="K61" s="178"/>
      <c r="L61" s="178"/>
      <c r="M61" s="178"/>
      <c r="N61" s="178"/>
      <c r="O61" s="178"/>
      <c r="P61" s="178"/>
      <c r="Q61" s="178"/>
      <c r="R61" s="178"/>
      <c r="S61" s="178"/>
      <c r="T61" s="178"/>
      <c r="U61" s="178"/>
      <c r="V61" s="178"/>
      <c r="W61" s="178"/>
      <c r="X61" s="178"/>
      <c r="Y61" s="178"/>
      <c r="Z61" s="178"/>
      <c r="AA61" s="188"/>
    </row>
    <row r="62">
      <c r="A62" s="191" t="s">
        <v>181</v>
      </c>
      <c r="B62" s="216"/>
      <c r="C62" s="215" t="s">
        <v>130</v>
      </c>
      <c r="D62" s="191">
        <v>243500.0</v>
      </c>
      <c r="E62" s="217"/>
      <c r="F62" s="218" t="str">
        <f t="shared" si="8"/>
        <v/>
      </c>
      <c r="G62" s="219">
        <v>4200.0</v>
      </c>
      <c r="H62" s="219" t="str">
        <f t="shared" si="7"/>
        <v/>
      </c>
      <c r="I62" s="220" t="str">
        <f>IF(F62="","",(SUM(G55*F62)))</f>
        <v/>
      </c>
      <c r="J62" s="221" t="str">
        <f t="shared" si="9"/>
        <v/>
      </c>
      <c r="K62" s="178"/>
      <c r="L62" s="178"/>
      <c r="M62" s="178"/>
      <c r="N62" s="178"/>
      <c r="O62" s="178"/>
      <c r="P62" s="178"/>
      <c r="Q62" s="178"/>
      <c r="R62" s="178"/>
      <c r="S62" s="178"/>
      <c r="T62" s="178"/>
      <c r="U62" s="178"/>
      <c r="V62" s="178"/>
      <c r="W62" s="178"/>
      <c r="X62" s="178"/>
      <c r="Y62" s="178"/>
      <c r="Z62" s="178"/>
      <c r="AA62" s="188"/>
    </row>
    <row r="63">
      <c r="A63" s="191" t="s">
        <v>181</v>
      </c>
      <c r="B63" s="209"/>
      <c r="C63" s="208" t="s">
        <v>130</v>
      </c>
      <c r="D63" s="191">
        <v>243500.0</v>
      </c>
      <c r="E63" s="210"/>
      <c r="F63" s="211" t="str">
        <f t="shared" si="8"/>
        <v/>
      </c>
      <c r="G63" s="212">
        <v>4200.0</v>
      </c>
      <c r="H63" s="212" t="str">
        <f t="shared" si="7"/>
        <v/>
      </c>
      <c r="I63" s="213" t="str">
        <f>IF(F63="","",(SUM(G57*F63)))</f>
        <v/>
      </c>
      <c r="J63" s="214" t="str">
        <f t="shared" si="9"/>
        <v/>
      </c>
      <c r="K63" s="178"/>
      <c r="L63" s="178"/>
      <c r="M63" s="178"/>
      <c r="N63" s="178"/>
      <c r="O63" s="178"/>
      <c r="P63" s="178"/>
      <c r="Q63" s="178"/>
      <c r="R63" s="178"/>
      <c r="S63" s="178"/>
      <c r="T63" s="178"/>
      <c r="U63" s="178"/>
      <c r="V63" s="178"/>
      <c r="W63" s="178"/>
      <c r="X63" s="178"/>
      <c r="Y63" s="178"/>
      <c r="Z63" s="178"/>
      <c r="AA63" s="188"/>
    </row>
    <row r="64">
      <c r="A64" s="191" t="s">
        <v>181</v>
      </c>
      <c r="B64" s="216"/>
      <c r="C64" s="215" t="s">
        <v>130</v>
      </c>
      <c r="D64" s="191">
        <v>243500.0</v>
      </c>
      <c r="E64" s="217"/>
      <c r="F64" s="218" t="str">
        <f t="shared" si="8"/>
        <v/>
      </c>
      <c r="G64" s="219">
        <v>4200.0</v>
      </c>
      <c r="H64" s="219" t="str">
        <f t="shared" si="7"/>
        <v/>
      </c>
      <c r="I64" s="220" t="str">
        <f>IF(F64="","",(SUM(G57*F64)))</f>
        <v/>
      </c>
      <c r="J64" s="221" t="str">
        <f t="shared" si="9"/>
        <v/>
      </c>
      <c r="K64" s="178"/>
      <c r="L64" s="178"/>
      <c r="M64" s="178"/>
      <c r="N64" s="178"/>
      <c r="O64" s="178"/>
      <c r="P64" s="178"/>
      <c r="Q64" s="178"/>
      <c r="R64" s="178"/>
      <c r="S64" s="178"/>
      <c r="T64" s="178"/>
      <c r="U64" s="178"/>
      <c r="V64" s="178"/>
      <c r="W64" s="178"/>
      <c r="X64" s="178"/>
      <c r="Y64" s="178"/>
      <c r="Z64" s="178"/>
      <c r="AA64" s="188"/>
    </row>
    <row r="65">
      <c r="A65" s="191" t="s">
        <v>181</v>
      </c>
      <c r="B65" s="209"/>
      <c r="C65" s="208" t="s">
        <v>130</v>
      </c>
      <c r="D65" s="191">
        <v>243500.0</v>
      </c>
      <c r="E65" s="210"/>
      <c r="F65" s="211" t="str">
        <f t="shared" si="8"/>
        <v/>
      </c>
      <c r="G65" s="212">
        <v>4200.0</v>
      </c>
      <c r="H65" s="212" t="str">
        <f t="shared" si="7"/>
        <v/>
      </c>
      <c r="I65" s="213" t="str">
        <f>IF(F65="","",(SUM(G59*F65)))</f>
        <v/>
      </c>
      <c r="J65" s="214" t="str">
        <f t="shared" si="9"/>
        <v/>
      </c>
      <c r="K65" s="178"/>
      <c r="L65" s="178"/>
      <c r="M65" s="178"/>
      <c r="N65" s="178"/>
      <c r="O65" s="178"/>
      <c r="P65" s="178"/>
      <c r="Q65" s="178"/>
      <c r="R65" s="178"/>
      <c r="S65" s="178"/>
      <c r="T65" s="178"/>
      <c r="U65" s="178"/>
      <c r="V65" s="178"/>
      <c r="W65" s="178"/>
      <c r="X65" s="178"/>
      <c r="Y65" s="178"/>
      <c r="Z65" s="178"/>
      <c r="AA65" s="188"/>
    </row>
    <row r="66">
      <c r="A66" s="191" t="s">
        <v>181</v>
      </c>
      <c r="B66" s="216"/>
      <c r="C66" s="215" t="s">
        <v>130</v>
      </c>
      <c r="D66" s="191">
        <v>243500.0</v>
      </c>
      <c r="E66" s="217"/>
      <c r="F66" s="218" t="str">
        <f t="shared" si="8"/>
        <v/>
      </c>
      <c r="G66" s="219">
        <v>4200.0</v>
      </c>
      <c r="H66" s="219" t="str">
        <f t="shared" si="7"/>
        <v/>
      </c>
      <c r="I66" s="220" t="str">
        <f>IF(F66="","",(SUM(G59*F66)))</f>
        <v/>
      </c>
      <c r="J66" s="221" t="str">
        <f t="shared" si="9"/>
        <v/>
      </c>
      <c r="K66" s="178"/>
      <c r="L66" s="178"/>
      <c r="M66" s="178"/>
      <c r="N66" s="178"/>
      <c r="O66" s="178"/>
      <c r="P66" s="178"/>
      <c r="Q66" s="178"/>
      <c r="R66" s="178"/>
      <c r="S66" s="178"/>
      <c r="T66" s="178"/>
      <c r="U66" s="178"/>
      <c r="V66" s="178"/>
      <c r="W66" s="178"/>
      <c r="X66" s="178"/>
      <c r="Y66" s="178"/>
      <c r="Z66" s="178"/>
      <c r="AA66" s="188"/>
    </row>
    <row r="67">
      <c r="A67" s="191" t="s">
        <v>181</v>
      </c>
      <c r="B67" s="209"/>
      <c r="C67" s="208" t="s">
        <v>130</v>
      </c>
      <c r="D67" s="191">
        <v>243500.0</v>
      </c>
      <c r="E67" s="210"/>
      <c r="F67" s="211" t="str">
        <f t="shared" si="8"/>
        <v/>
      </c>
      <c r="G67" s="212">
        <v>4200.0</v>
      </c>
      <c r="H67" s="212" t="str">
        <f t="shared" si="7"/>
        <v/>
      </c>
      <c r="I67" s="213" t="str">
        <f>IF(F67="","",(SUM(G61*F67)))</f>
        <v/>
      </c>
      <c r="J67" s="214" t="str">
        <f t="shared" si="9"/>
        <v/>
      </c>
      <c r="K67" s="178"/>
      <c r="L67" s="178"/>
      <c r="M67" s="178"/>
      <c r="N67" s="178"/>
      <c r="O67" s="178"/>
      <c r="P67" s="178"/>
      <c r="Q67" s="178"/>
      <c r="R67" s="178"/>
      <c r="S67" s="178"/>
      <c r="T67" s="178"/>
      <c r="U67" s="178"/>
      <c r="V67" s="178"/>
      <c r="W67" s="178"/>
      <c r="X67" s="178"/>
      <c r="Y67" s="178"/>
      <c r="Z67" s="178"/>
      <c r="AA67" s="188"/>
    </row>
    <row r="68">
      <c r="A68" s="191" t="s">
        <v>181</v>
      </c>
      <c r="B68" s="216"/>
      <c r="C68" s="215" t="s">
        <v>130</v>
      </c>
      <c r="D68" s="191">
        <v>243500.0</v>
      </c>
      <c r="E68" s="217"/>
      <c r="F68" s="218" t="str">
        <f t="shared" si="8"/>
        <v/>
      </c>
      <c r="G68" s="219">
        <v>4200.0</v>
      </c>
      <c r="H68" s="219" t="str">
        <f t="shared" si="7"/>
        <v/>
      </c>
      <c r="I68" s="220" t="str">
        <f>IF(F68="","",(SUM(G61*F68)))</f>
        <v/>
      </c>
      <c r="J68" s="221" t="str">
        <f t="shared" si="9"/>
        <v/>
      </c>
      <c r="K68" s="178"/>
      <c r="L68" s="178"/>
      <c r="M68" s="178"/>
      <c r="N68" s="178"/>
      <c r="O68" s="178"/>
      <c r="P68" s="178"/>
      <c r="Q68" s="178"/>
      <c r="R68" s="178"/>
      <c r="S68" s="178"/>
      <c r="T68" s="178"/>
      <c r="U68" s="178"/>
      <c r="V68" s="178"/>
      <c r="W68" s="178"/>
      <c r="X68" s="178"/>
      <c r="Y68" s="178"/>
      <c r="Z68" s="178"/>
      <c r="AA68" s="188"/>
    </row>
    <row r="69">
      <c r="A69" s="191" t="s">
        <v>181</v>
      </c>
      <c r="B69" s="209"/>
      <c r="C69" s="208" t="s">
        <v>130</v>
      </c>
      <c r="D69" s="191">
        <v>243500.0</v>
      </c>
      <c r="E69" s="210"/>
      <c r="F69" s="211" t="str">
        <f t="shared" si="8"/>
        <v/>
      </c>
      <c r="G69" s="212">
        <v>4200.0</v>
      </c>
      <c r="H69" s="212" t="str">
        <f t="shared" si="7"/>
        <v/>
      </c>
      <c r="I69" s="213" t="str">
        <f>IF(F69="","",(SUM(G63*F69)))</f>
        <v/>
      </c>
      <c r="J69" s="214" t="str">
        <f t="shared" si="9"/>
        <v/>
      </c>
      <c r="K69" s="178"/>
      <c r="L69" s="178"/>
      <c r="M69" s="178"/>
      <c r="N69" s="178"/>
      <c r="O69" s="178"/>
      <c r="P69" s="178"/>
      <c r="Q69" s="178"/>
      <c r="R69" s="178"/>
      <c r="S69" s="178"/>
      <c r="T69" s="178"/>
      <c r="U69" s="178"/>
      <c r="V69" s="178"/>
      <c r="W69" s="178"/>
      <c r="X69" s="178"/>
      <c r="Y69" s="178"/>
      <c r="Z69" s="178"/>
      <c r="AA69" s="188"/>
    </row>
    <row r="70">
      <c r="A70" s="191" t="s">
        <v>181</v>
      </c>
      <c r="B70" s="216"/>
      <c r="C70" s="215" t="s">
        <v>130</v>
      </c>
      <c r="D70" s="191">
        <v>243500.0</v>
      </c>
      <c r="E70" s="217"/>
      <c r="F70" s="218" t="str">
        <f t="shared" si="8"/>
        <v/>
      </c>
      <c r="G70" s="219">
        <v>4200.0</v>
      </c>
      <c r="H70" s="219" t="str">
        <f t="shared" si="7"/>
        <v/>
      </c>
      <c r="I70" s="220" t="str">
        <f>IF(F70="","",(SUM(G63*F70)))</f>
        <v/>
      </c>
      <c r="J70" s="221" t="str">
        <f t="shared" si="9"/>
        <v/>
      </c>
      <c r="K70" s="178"/>
      <c r="L70" s="178"/>
      <c r="M70" s="178"/>
      <c r="N70" s="178"/>
      <c r="O70" s="178"/>
      <c r="P70" s="178"/>
      <c r="Q70" s="178"/>
      <c r="R70" s="178"/>
      <c r="S70" s="178"/>
      <c r="T70" s="178"/>
      <c r="U70" s="178"/>
      <c r="V70" s="178"/>
      <c r="W70" s="178"/>
      <c r="X70" s="178"/>
      <c r="Y70" s="178"/>
      <c r="Z70" s="178"/>
      <c r="AA70" s="188"/>
    </row>
    <row r="71">
      <c r="A71" s="222"/>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88"/>
    </row>
    <row r="72">
      <c r="A72" s="222"/>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88"/>
    </row>
    <row r="73">
      <c r="A73" s="184" t="s">
        <v>146</v>
      </c>
      <c r="B73" s="185" t="s">
        <v>147</v>
      </c>
      <c r="C73" s="184" t="s">
        <v>148</v>
      </c>
      <c r="D73" s="184" t="s">
        <v>149</v>
      </c>
      <c r="E73" s="185" t="s">
        <v>150</v>
      </c>
      <c r="F73" s="186" t="s">
        <v>112</v>
      </c>
      <c r="G73" s="185" t="s">
        <v>151</v>
      </c>
      <c r="H73" s="187" t="s">
        <v>179</v>
      </c>
      <c r="I73" s="187" t="s">
        <v>153</v>
      </c>
      <c r="J73" s="185" t="s">
        <v>154</v>
      </c>
      <c r="K73" s="178"/>
      <c r="L73" s="178"/>
      <c r="M73" s="178"/>
      <c r="N73" s="178"/>
      <c r="O73" s="178"/>
      <c r="P73" s="178"/>
      <c r="Q73" s="178"/>
      <c r="R73" s="178"/>
      <c r="S73" s="178"/>
      <c r="T73" s="178"/>
      <c r="U73" s="178"/>
      <c r="V73" s="178"/>
      <c r="W73" s="178"/>
      <c r="X73" s="178"/>
      <c r="Y73" s="178"/>
      <c r="Z73" s="178"/>
      <c r="AA73" s="188"/>
    </row>
    <row r="74">
      <c r="A74" s="191" t="s">
        <v>182</v>
      </c>
      <c r="B74" s="190">
        <v>45769.0</v>
      </c>
      <c r="C74" s="191" t="s">
        <v>130</v>
      </c>
      <c r="D74" s="191">
        <v>212500.0</v>
      </c>
      <c r="E74" s="189">
        <v>0.0</v>
      </c>
      <c r="F74" s="189">
        <f>D74-E74</f>
        <v>212500</v>
      </c>
      <c r="G74" s="192">
        <v>4200.0</v>
      </c>
      <c r="H74" s="192">
        <f t="shared" ref="H74:H93" si="10">IF(E74="","",(SUM($G$3*E74)))</f>
        <v>0</v>
      </c>
      <c r="I74" s="193">
        <f>F74*G74</f>
        <v>892500000</v>
      </c>
      <c r="J74" s="194" t="str">
        <f>IF(OR(D74="",E74=""),"",IF(F74&lt;=0,"Closed","Open"))</f>
        <v>Open</v>
      </c>
      <c r="K74" s="178"/>
      <c r="L74" s="178"/>
      <c r="M74" s="178"/>
      <c r="N74" s="178"/>
      <c r="O74" s="178"/>
      <c r="P74" s="178"/>
      <c r="Q74" s="178"/>
      <c r="R74" s="178"/>
      <c r="S74" s="178"/>
      <c r="T74" s="178"/>
      <c r="U74" s="178"/>
      <c r="V74" s="178"/>
      <c r="W74" s="178"/>
      <c r="X74" s="178"/>
      <c r="Y74" s="178"/>
      <c r="Z74" s="178"/>
      <c r="AA74" s="188"/>
    </row>
    <row r="75">
      <c r="A75" s="191" t="s">
        <v>182</v>
      </c>
      <c r="B75" s="196"/>
      <c r="C75" s="191" t="s">
        <v>130</v>
      </c>
      <c r="D75" s="191"/>
      <c r="E75" s="197"/>
      <c r="F75" s="198" t="str">
        <f t="shared" ref="F75:F93" si="11">IF(E75="","",(SUM(F74-E75)))</f>
        <v/>
      </c>
      <c r="G75" s="192">
        <v>4200.0</v>
      </c>
      <c r="H75" s="192" t="str">
        <f t="shared" si="10"/>
        <v/>
      </c>
      <c r="I75" s="199" t="str">
        <f>IF(F75="","",(SUM(G74*F75)))</f>
        <v/>
      </c>
      <c r="J75" s="200" t="str">
        <f t="shared" ref="J75:J93" si="12">IF(OR(F75="",E75=""),"",IF(F75&lt;=0,"Closed","Open"))</f>
        <v/>
      </c>
      <c r="K75" s="178"/>
      <c r="L75" s="178"/>
      <c r="M75" s="178"/>
      <c r="N75" s="178"/>
      <c r="O75" s="178"/>
      <c r="P75" s="178"/>
      <c r="Q75" s="178"/>
      <c r="R75" s="178"/>
      <c r="S75" s="178"/>
      <c r="T75" s="178"/>
      <c r="U75" s="178"/>
      <c r="V75" s="178"/>
      <c r="W75" s="178"/>
      <c r="X75" s="178"/>
      <c r="Y75" s="178"/>
      <c r="Z75" s="178"/>
      <c r="AA75" s="188"/>
    </row>
    <row r="76">
      <c r="A76" s="191" t="s">
        <v>182</v>
      </c>
      <c r="B76" s="201"/>
      <c r="C76" s="191" t="s">
        <v>130</v>
      </c>
      <c r="D76" s="191"/>
      <c r="E76" s="202"/>
      <c r="F76" s="198" t="str">
        <f t="shared" si="11"/>
        <v/>
      </c>
      <c r="G76" s="192">
        <v>4200.0</v>
      </c>
      <c r="H76" s="192" t="str">
        <f t="shared" si="10"/>
        <v/>
      </c>
      <c r="I76" s="193" t="str">
        <f>IF(F76="","",(SUM(G74*F76)))</f>
        <v/>
      </c>
      <c r="J76" s="194" t="str">
        <f t="shared" si="12"/>
        <v/>
      </c>
      <c r="K76" s="178"/>
      <c r="L76" s="178"/>
      <c r="M76" s="178"/>
      <c r="N76" s="178"/>
      <c r="O76" s="178"/>
      <c r="P76" s="178"/>
      <c r="Q76" s="178"/>
      <c r="R76" s="178"/>
      <c r="S76" s="178"/>
      <c r="T76" s="178"/>
      <c r="U76" s="178"/>
      <c r="V76" s="178"/>
      <c r="W76" s="178"/>
      <c r="X76" s="178"/>
      <c r="Y76" s="178"/>
      <c r="Z76" s="178"/>
      <c r="AA76" s="188"/>
    </row>
    <row r="77">
      <c r="A77" s="191" t="s">
        <v>182</v>
      </c>
      <c r="B77" s="203"/>
      <c r="C77" s="191" t="s">
        <v>130</v>
      </c>
      <c r="D77" s="191"/>
      <c r="E77" s="223"/>
      <c r="F77" s="198" t="str">
        <f t="shared" si="11"/>
        <v/>
      </c>
      <c r="G77" s="192">
        <v>4200.0</v>
      </c>
      <c r="H77" s="192" t="str">
        <f t="shared" si="10"/>
        <v/>
      </c>
      <c r="I77" s="205" t="str">
        <f>IF(F77="","",(SUM(G74*F77)))</f>
        <v/>
      </c>
      <c r="J77" s="205" t="str">
        <f t="shared" si="12"/>
        <v/>
      </c>
      <c r="K77" s="178"/>
      <c r="L77" s="178"/>
      <c r="M77" s="178"/>
      <c r="N77" s="178"/>
      <c r="O77" s="178"/>
      <c r="P77" s="178"/>
      <c r="Q77" s="178"/>
      <c r="R77" s="178"/>
      <c r="S77" s="178"/>
      <c r="T77" s="178"/>
      <c r="U77" s="178"/>
      <c r="V77" s="178"/>
      <c r="W77" s="178"/>
      <c r="X77" s="178"/>
      <c r="Y77" s="178"/>
      <c r="Z77" s="178"/>
      <c r="AA77" s="188"/>
    </row>
    <row r="78">
      <c r="A78" s="191" t="s">
        <v>182</v>
      </c>
      <c r="B78" s="201"/>
      <c r="C78" s="191" t="s">
        <v>130</v>
      </c>
      <c r="D78" s="191"/>
      <c r="E78" s="224"/>
      <c r="F78" s="198" t="str">
        <f t="shared" si="11"/>
        <v/>
      </c>
      <c r="G78" s="192">
        <v>4200.0</v>
      </c>
      <c r="H78" s="192" t="str">
        <f t="shared" si="10"/>
        <v/>
      </c>
      <c r="I78" s="207" t="str">
        <f>IF(F78="","",(SUM(G74*F78)))</f>
        <v/>
      </c>
      <c r="J78" s="207" t="str">
        <f t="shared" si="12"/>
        <v/>
      </c>
      <c r="K78" s="178"/>
      <c r="L78" s="178"/>
      <c r="M78" s="178"/>
      <c r="N78" s="178"/>
      <c r="O78" s="178"/>
      <c r="P78" s="178"/>
      <c r="Q78" s="178"/>
      <c r="R78" s="178"/>
      <c r="S78" s="178"/>
      <c r="T78" s="178"/>
      <c r="U78" s="178"/>
      <c r="V78" s="178"/>
      <c r="W78" s="178"/>
      <c r="X78" s="178"/>
      <c r="Y78" s="178"/>
      <c r="Z78" s="178"/>
      <c r="AA78" s="188"/>
    </row>
    <row r="79">
      <c r="A79" s="191" t="s">
        <v>182</v>
      </c>
      <c r="B79" s="203"/>
      <c r="C79" s="191" t="s">
        <v>130</v>
      </c>
      <c r="D79" s="191"/>
      <c r="E79" s="223"/>
      <c r="F79" s="198" t="str">
        <f t="shared" si="11"/>
        <v/>
      </c>
      <c r="G79" s="192">
        <v>4200.0</v>
      </c>
      <c r="H79" s="192" t="str">
        <f t="shared" si="10"/>
        <v/>
      </c>
      <c r="I79" s="205" t="str">
        <f>IF(F79="","",(SUM(G74*F79)))</f>
        <v/>
      </c>
      <c r="J79" s="205" t="str">
        <f t="shared" si="12"/>
        <v/>
      </c>
      <c r="K79" s="178"/>
      <c r="L79" s="178"/>
      <c r="M79" s="178"/>
      <c r="N79" s="178"/>
      <c r="O79" s="178"/>
      <c r="P79" s="178"/>
      <c r="Q79" s="178"/>
      <c r="R79" s="178"/>
      <c r="S79" s="178"/>
      <c r="T79" s="178"/>
      <c r="U79" s="178"/>
      <c r="V79" s="178"/>
      <c r="W79" s="178"/>
      <c r="X79" s="178"/>
      <c r="Y79" s="178"/>
      <c r="Z79" s="178"/>
      <c r="AA79" s="188"/>
    </row>
    <row r="80">
      <c r="A80" s="191" t="s">
        <v>182</v>
      </c>
      <c r="B80" s="201"/>
      <c r="C80" s="191" t="s">
        <v>130</v>
      </c>
      <c r="D80" s="191"/>
      <c r="E80" s="224"/>
      <c r="F80" s="198" t="str">
        <f t="shared" si="11"/>
        <v/>
      </c>
      <c r="G80" s="192">
        <v>4200.0</v>
      </c>
      <c r="H80" s="192" t="str">
        <f t="shared" si="10"/>
        <v/>
      </c>
      <c r="I80" s="207" t="str">
        <f>IF(F80="","",(SUM(G74*F80)))</f>
        <v/>
      </c>
      <c r="J80" s="207" t="str">
        <f t="shared" si="12"/>
        <v/>
      </c>
      <c r="K80" s="178"/>
      <c r="L80" s="178"/>
      <c r="M80" s="178"/>
      <c r="N80" s="178"/>
      <c r="O80" s="178"/>
      <c r="P80" s="178"/>
      <c r="Q80" s="178"/>
      <c r="R80" s="178"/>
      <c r="S80" s="178"/>
      <c r="T80" s="178"/>
      <c r="U80" s="178"/>
      <c r="V80" s="178"/>
      <c r="W80" s="178"/>
      <c r="X80" s="178"/>
      <c r="Y80" s="178"/>
      <c r="Z80" s="178"/>
      <c r="AA80" s="188"/>
    </row>
    <row r="81">
      <c r="A81" s="191" t="s">
        <v>182</v>
      </c>
      <c r="B81" s="203"/>
      <c r="C81" s="191" t="s">
        <v>130</v>
      </c>
      <c r="D81" s="191"/>
      <c r="E81" s="223"/>
      <c r="F81" s="198" t="str">
        <f t="shared" si="11"/>
        <v/>
      </c>
      <c r="G81" s="192">
        <v>4200.0</v>
      </c>
      <c r="H81" s="192" t="str">
        <f t="shared" si="10"/>
        <v/>
      </c>
      <c r="I81" s="205" t="str">
        <f>IF(F81="","",(SUM(G74*F81)))</f>
        <v/>
      </c>
      <c r="J81" s="205" t="str">
        <f t="shared" si="12"/>
        <v/>
      </c>
      <c r="K81" s="178"/>
      <c r="L81" s="178"/>
      <c r="M81" s="178"/>
      <c r="N81" s="178"/>
      <c r="O81" s="178"/>
      <c r="P81" s="178"/>
      <c r="Q81" s="178"/>
      <c r="R81" s="178"/>
      <c r="S81" s="178"/>
      <c r="T81" s="178"/>
      <c r="U81" s="178"/>
      <c r="V81" s="178"/>
      <c r="W81" s="178"/>
      <c r="X81" s="178"/>
      <c r="Y81" s="178"/>
      <c r="Z81" s="178"/>
      <c r="AA81" s="188"/>
    </row>
    <row r="82">
      <c r="A82" s="191" t="s">
        <v>182</v>
      </c>
      <c r="B82" s="201"/>
      <c r="C82" s="191" t="s">
        <v>130</v>
      </c>
      <c r="D82" s="191"/>
      <c r="E82" s="224"/>
      <c r="F82" s="198" t="str">
        <f t="shared" si="11"/>
        <v/>
      </c>
      <c r="G82" s="192">
        <v>4200.0</v>
      </c>
      <c r="H82" s="192" t="str">
        <f t="shared" si="10"/>
        <v/>
      </c>
      <c r="I82" s="207" t="str">
        <f>IF(F82="","",(SUM(G76*F82)))</f>
        <v/>
      </c>
      <c r="J82" s="207" t="str">
        <f t="shared" si="12"/>
        <v/>
      </c>
      <c r="K82" s="178"/>
      <c r="L82" s="178"/>
      <c r="M82" s="178"/>
      <c r="N82" s="178"/>
      <c r="O82" s="178"/>
      <c r="P82" s="178"/>
      <c r="Q82" s="178"/>
      <c r="R82" s="178"/>
      <c r="S82" s="178"/>
      <c r="T82" s="178"/>
      <c r="U82" s="178"/>
      <c r="V82" s="178"/>
      <c r="W82" s="178"/>
      <c r="X82" s="178"/>
      <c r="Y82" s="178"/>
      <c r="Z82" s="178"/>
      <c r="AA82" s="188"/>
    </row>
    <row r="83">
      <c r="A83" s="191" t="s">
        <v>182</v>
      </c>
      <c r="B83" s="203"/>
      <c r="C83" s="191" t="s">
        <v>130</v>
      </c>
      <c r="D83" s="191"/>
      <c r="E83" s="223"/>
      <c r="F83" s="198" t="str">
        <f t="shared" si="11"/>
        <v/>
      </c>
      <c r="G83" s="192">
        <v>4200.0</v>
      </c>
      <c r="H83" s="192" t="str">
        <f t="shared" si="10"/>
        <v/>
      </c>
      <c r="I83" s="205" t="str">
        <f>IF(F83="","",(SUM(G76*F83)))</f>
        <v/>
      </c>
      <c r="J83" s="205" t="str">
        <f t="shared" si="12"/>
        <v/>
      </c>
      <c r="K83" s="178"/>
      <c r="L83" s="178"/>
      <c r="M83" s="178"/>
      <c r="N83" s="178"/>
      <c r="O83" s="178"/>
      <c r="P83" s="178"/>
      <c r="Q83" s="178"/>
      <c r="R83" s="178"/>
      <c r="S83" s="178"/>
      <c r="T83" s="178"/>
      <c r="U83" s="178"/>
      <c r="V83" s="178"/>
      <c r="W83" s="178"/>
      <c r="X83" s="178"/>
      <c r="Y83" s="178"/>
      <c r="Z83" s="178"/>
      <c r="AA83" s="188"/>
    </row>
    <row r="84">
      <c r="A84" s="191" t="s">
        <v>182</v>
      </c>
      <c r="B84" s="209"/>
      <c r="C84" s="208" t="s">
        <v>130</v>
      </c>
      <c r="D84" s="191"/>
      <c r="E84" s="210"/>
      <c r="F84" s="211" t="str">
        <f t="shared" si="11"/>
        <v/>
      </c>
      <c r="G84" s="212">
        <v>4200.0</v>
      </c>
      <c r="H84" s="212" t="str">
        <f t="shared" si="10"/>
        <v/>
      </c>
      <c r="I84" s="213" t="str">
        <f>IF(F84="","",(SUM(G78*F84)))</f>
        <v/>
      </c>
      <c r="J84" s="214" t="str">
        <f t="shared" si="12"/>
        <v/>
      </c>
      <c r="K84" s="178"/>
      <c r="L84" s="178"/>
      <c r="M84" s="178"/>
      <c r="N84" s="178"/>
      <c r="O84" s="178"/>
      <c r="P84" s="178"/>
      <c r="Q84" s="178"/>
      <c r="R84" s="178"/>
      <c r="S84" s="178"/>
      <c r="T84" s="178"/>
      <c r="U84" s="178"/>
      <c r="V84" s="178"/>
      <c r="W84" s="178"/>
      <c r="X84" s="178"/>
      <c r="Y84" s="178"/>
      <c r="Z84" s="178"/>
      <c r="AA84" s="188"/>
    </row>
    <row r="85">
      <c r="A85" s="191" t="s">
        <v>182</v>
      </c>
      <c r="B85" s="216"/>
      <c r="C85" s="215" t="s">
        <v>130</v>
      </c>
      <c r="D85" s="191"/>
      <c r="E85" s="217"/>
      <c r="F85" s="218" t="str">
        <f t="shared" si="11"/>
        <v/>
      </c>
      <c r="G85" s="219">
        <v>4200.0</v>
      </c>
      <c r="H85" s="219" t="str">
        <f t="shared" si="10"/>
        <v/>
      </c>
      <c r="I85" s="220" t="str">
        <f>IF(F85="","",(SUM(G78*F85)))</f>
        <v/>
      </c>
      <c r="J85" s="221" t="str">
        <f t="shared" si="12"/>
        <v/>
      </c>
      <c r="K85" s="178"/>
      <c r="L85" s="178"/>
      <c r="M85" s="178"/>
      <c r="N85" s="178"/>
      <c r="O85" s="178"/>
      <c r="P85" s="178"/>
      <c r="Q85" s="178"/>
      <c r="R85" s="178"/>
      <c r="S85" s="178"/>
      <c r="T85" s="178"/>
      <c r="U85" s="178"/>
      <c r="V85" s="178"/>
      <c r="W85" s="178"/>
      <c r="X85" s="178"/>
      <c r="Y85" s="178"/>
      <c r="Z85" s="178"/>
      <c r="AA85" s="188"/>
    </row>
    <row r="86">
      <c r="A86" s="191" t="s">
        <v>182</v>
      </c>
      <c r="B86" s="209"/>
      <c r="C86" s="208" t="s">
        <v>130</v>
      </c>
      <c r="D86" s="191"/>
      <c r="E86" s="210"/>
      <c r="F86" s="211" t="str">
        <f t="shared" si="11"/>
        <v/>
      </c>
      <c r="G86" s="212">
        <v>4200.0</v>
      </c>
      <c r="H86" s="212" t="str">
        <f t="shared" si="10"/>
        <v/>
      </c>
      <c r="I86" s="213" t="str">
        <f>IF(F86="","",(SUM(G80*F86)))</f>
        <v/>
      </c>
      <c r="J86" s="214" t="str">
        <f t="shared" si="12"/>
        <v/>
      </c>
      <c r="K86" s="178"/>
      <c r="L86" s="178"/>
      <c r="M86" s="178"/>
      <c r="N86" s="178"/>
      <c r="O86" s="178"/>
      <c r="P86" s="178"/>
      <c r="Q86" s="178"/>
      <c r="R86" s="178"/>
      <c r="S86" s="178"/>
      <c r="T86" s="178"/>
      <c r="U86" s="178"/>
      <c r="V86" s="178"/>
      <c r="W86" s="178"/>
      <c r="X86" s="178"/>
      <c r="Y86" s="178"/>
      <c r="Z86" s="178"/>
      <c r="AA86" s="188"/>
    </row>
    <row r="87">
      <c r="A87" s="191" t="s">
        <v>182</v>
      </c>
      <c r="B87" s="216"/>
      <c r="C87" s="215" t="s">
        <v>130</v>
      </c>
      <c r="D87" s="191"/>
      <c r="E87" s="217"/>
      <c r="F87" s="218" t="str">
        <f t="shared" si="11"/>
        <v/>
      </c>
      <c r="G87" s="219">
        <v>4200.0</v>
      </c>
      <c r="H87" s="219" t="str">
        <f t="shared" si="10"/>
        <v/>
      </c>
      <c r="I87" s="220" t="str">
        <f>IF(F87="","",(SUM(G80*F87)))</f>
        <v/>
      </c>
      <c r="J87" s="221" t="str">
        <f t="shared" si="12"/>
        <v/>
      </c>
      <c r="K87" s="178"/>
      <c r="L87" s="178"/>
      <c r="M87" s="178"/>
      <c r="N87" s="178"/>
      <c r="O87" s="178"/>
      <c r="P87" s="178"/>
      <c r="Q87" s="178"/>
      <c r="R87" s="178"/>
      <c r="S87" s="178"/>
      <c r="T87" s="178"/>
      <c r="U87" s="178"/>
      <c r="V87" s="178"/>
      <c r="W87" s="178"/>
      <c r="X87" s="178"/>
      <c r="Y87" s="178"/>
      <c r="Z87" s="178"/>
      <c r="AA87" s="188"/>
    </row>
    <row r="88">
      <c r="A88" s="191" t="s">
        <v>182</v>
      </c>
      <c r="B88" s="209"/>
      <c r="C88" s="208" t="s">
        <v>130</v>
      </c>
      <c r="D88" s="191"/>
      <c r="E88" s="210"/>
      <c r="F88" s="211" t="str">
        <f t="shared" si="11"/>
        <v/>
      </c>
      <c r="G88" s="212">
        <v>4200.0</v>
      </c>
      <c r="H88" s="212" t="str">
        <f t="shared" si="10"/>
        <v/>
      </c>
      <c r="I88" s="213" t="str">
        <f>IF(F88="","",(SUM(G82*F88)))</f>
        <v/>
      </c>
      <c r="J88" s="214" t="str">
        <f t="shared" si="12"/>
        <v/>
      </c>
      <c r="K88" s="178"/>
      <c r="L88" s="178"/>
      <c r="M88" s="178"/>
      <c r="N88" s="178"/>
      <c r="O88" s="178"/>
      <c r="P88" s="178"/>
      <c r="Q88" s="178"/>
      <c r="R88" s="178"/>
      <c r="S88" s="178"/>
      <c r="T88" s="178"/>
      <c r="U88" s="178"/>
      <c r="V88" s="178"/>
      <c r="W88" s="178"/>
      <c r="X88" s="178"/>
      <c r="Y88" s="178"/>
      <c r="Z88" s="178"/>
      <c r="AA88" s="188"/>
    </row>
    <row r="89">
      <c r="A89" s="191" t="s">
        <v>182</v>
      </c>
      <c r="B89" s="216"/>
      <c r="C89" s="215" t="s">
        <v>130</v>
      </c>
      <c r="D89" s="191"/>
      <c r="E89" s="217"/>
      <c r="F89" s="218" t="str">
        <f t="shared" si="11"/>
        <v/>
      </c>
      <c r="G89" s="219">
        <v>4200.0</v>
      </c>
      <c r="H89" s="219" t="str">
        <f t="shared" si="10"/>
        <v/>
      </c>
      <c r="I89" s="220" t="str">
        <f>IF(F89="","",(SUM(G82*F89)))</f>
        <v/>
      </c>
      <c r="J89" s="221" t="str">
        <f t="shared" si="12"/>
        <v/>
      </c>
      <c r="K89" s="178"/>
      <c r="L89" s="178"/>
      <c r="M89" s="178"/>
      <c r="N89" s="178"/>
      <c r="O89" s="178"/>
      <c r="P89" s="178"/>
      <c r="Q89" s="178"/>
      <c r="R89" s="178"/>
      <c r="S89" s="178"/>
      <c r="T89" s="178"/>
      <c r="U89" s="178"/>
      <c r="V89" s="178"/>
      <c r="W89" s="178"/>
      <c r="X89" s="178"/>
      <c r="Y89" s="178"/>
      <c r="Z89" s="178"/>
      <c r="AA89" s="188"/>
    </row>
    <row r="90">
      <c r="A90" s="191" t="s">
        <v>182</v>
      </c>
      <c r="B90" s="209"/>
      <c r="C90" s="208" t="s">
        <v>130</v>
      </c>
      <c r="D90" s="191"/>
      <c r="E90" s="210"/>
      <c r="F90" s="211" t="str">
        <f t="shared" si="11"/>
        <v/>
      </c>
      <c r="G90" s="212">
        <v>4200.0</v>
      </c>
      <c r="H90" s="212" t="str">
        <f t="shared" si="10"/>
        <v/>
      </c>
      <c r="I90" s="213" t="str">
        <f>IF(F90="","",(SUM(G84*F90)))</f>
        <v/>
      </c>
      <c r="J90" s="214" t="str">
        <f t="shared" si="12"/>
        <v/>
      </c>
      <c r="K90" s="178"/>
      <c r="L90" s="178"/>
      <c r="M90" s="178"/>
      <c r="N90" s="178"/>
      <c r="O90" s="178"/>
      <c r="P90" s="178"/>
      <c r="Q90" s="178"/>
      <c r="R90" s="178"/>
      <c r="S90" s="178"/>
      <c r="T90" s="178"/>
      <c r="U90" s="178"/>
      <c r="V90" s="178"/>
      <c r="W90" s="178"/>
      <c r="X90" s="178"/>
      <c r="Y90" s="178"/>
      <c r="Z90" s="178"/>
      <c r="AA90" s="188"/>
    </row>
    <row r="91">
      <c r="A91" s="191" t="s">
        <v>182</v>
      </c>
      <c r="B91" s="216"/>
      <c r="C91" s="215" t="s">
        <v>130</v>
      </c>
      <c r="D91" s="191"/>
      <c r="E91" s="217"/>
      <c r="F91" s="218" t="str">
        <f t="shared" si="11"/>
        <v/>
      </c>
      <c r="G91" s="219">
        <v>4200.0</v>
      </c>
      <c r="H91" s="219" t="str">
        <f t="shared" si="10"/>
        <v/>
      </c>
      <c r="I91" s="220" t="str">
        <f>IF(F91="","",(SUM(G84*F91)))</f>
        <v/>
      </c>
      <c r="J91" s="221" t="str">
        <f t="shared" si="12"/>
        <v/>
      </c>
      <c r="K91" s="178"/>
      <c r="L91" s="178"/>
      <c r="M91" s="178"/>
      <c r="N91" s="178"/>
      <c r="O91" s="178"/>
      <c r="P91" s="178"/>
      <c r="Q91" s="178"/>
      <c r="R91" s="178"/>
      <c r="S91" s="178"/>
      <c r="T91" s="178"/>
      <c r="U91" s="178"/>
      <c r="V91" s="178"/>
      <c r="W91" s="178"/>
      <c r="X91" s="178"/>
      <c r="Y91" s="178"/>
      <c r="Z91" s="178"/>
      <c r="AA91" s="188"/>
    </row>
    <row r="92">
      <c r="A92" s="191" t="s">
        <v>182</v>
      </c>
      <c r="B92" s="209"/>
      <c r="C92" s="208" t="s">
        <v>130</v>
      </c>
      <c r="D92" s="191"/>
      <c r="E92" s="210"/>
      <c r="F92" s="211" t="str">
        <f t="shared" si="11"/>
        <v/>
      </c>
      <c r="G92" s="212">
        <v>4200.0</v>
      </c>
      <c r="H92" s="212" t="str">
        <f t="shared" si="10"/>
        <v/>
      </c>
      <c r="I92" s="213" t="str">
        <f>IF(F92="","",(SUM(G86*F92)))</f>
        <v/>
      </c>
      <c r="J92" s="214" t="str">
        <f t="shared" si="12"/>
        <v/>
      </c>
      <c r="K92" s="178"/>
      <c r="L92" s="178"/>
      <c r="M92" s="178"/>
      <c r="N92" s="178"/>
      <c r="O92" s="178"/>
      <c r="P92" s="178"/>
      <c r="Q92" s="178"/>
      <c r="R92" s="178"/>
      <c r="S92" s="178"/>
      <c r="T92" s="178"/>
      <c r="U92" s="178"/>
      <c r="V92" s="178"/>
      <c r="W92" s="178"/>
      <c r="X92" s="178"/>
      <c r="Y92" s="178"/>
      <c r="Z92" s="178"/>
      <c r="AA92" s="188"/>
    </row>
    <row r="93">
      <c r="A93" s="191" t="s">
        <v>182</v>
      </c>
      <c r="B93" s="216"/>
      <c r="C93" s="215" t="s">
        <v>130</v>
      </c>
      <c r="D93" s="191"/>
      <c r="E93" s="217"/>
      <c r="F93" s="218" t="str">
        <f t="shared" si="11"/>
        <v/>
      </c>
      <c r="G93" s="219">
        <v>4200.0</v>
      </c>
      <c r="H93" s="219" t="str">
        <f t="shared" si="10"/>
        <v/>
      </c>
      <c r="I93" s="220" t="str">
        <f>IF(F93="","",(SUM(G86*F93)))</f>
        <v/>
      </c>
      <c r="J93" s="221" t="str">
        <f t="shared" si="12"/>
        <v/>
      </c>
      <c r="K93" s="178"/>
      <c r="L93" s="178"/>
      <c r="M93" s="178"/>
      <c r="N93" s="178"/>
      <c r="O93" s="178"/>
      <c r="P93" s="178"/>
      <c r="Q93" s="178"/>
      <c r="R93" s="178"/>
      <c r="S93" s="178"/>
      <c r="T93" s="178"/>
      <c r="U93" s="178"/>
      <c r="V93" s="178"/>
      <c r="W93" s="178"/>
      <c r="X93" s="178"/>
      <c r="Y93" s="178"/>
      <c r="Z93" s="178"/>
      <c r="AA93" s="188"/>
    </row>
    <row r="94">
      <c r="A94" s="222"/>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88"/>
    </row>
    <row r="95">
      <c r="A95" s="222"/>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88"/>
    </row>
    <row r="96">
      <c r="A96" s="222"/>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88"/>
    </row>
    <row r="97">
      <c r="A97" s="222"/>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88"/>
    </row>
    <row r="98">
      <c r="A98" s="222"/>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88"/>
    </row>
    <row r="99">
      <c r="A99" s="222"/>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88"/>
    </row>
    <row r="100">
      <c r="A100" s="222"/>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88"/>
    </row>
    <row r="101">
      <c r="A101" s="222"/>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88"/>
    </row>
    <row r="102">
      <c r="A102" s="222"/>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88"/>
    </row>
    <row r="103">
      <c r="A103" s="222"/>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88"/>
    </row>
    <row r="104">
      <c r="A104" s="222"/>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88"/>
    </row>
    <row r="105">
      <c r="A105" s="222"/>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88"/>
    </row>
    <row r="106">
      <c r="A106" s="222"/>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88"/>
    </row>
    <row r="107">
      <c r="A107" s="222"/>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88"/>
    </row>
    <row r="108">
      <c r="A108" s="222"/>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88"/>
    </row>
    <row r="109">
      <c r="A109" s="222"/>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88"/>
    </row>
    <row r="110">
      <c r="A110" s="222"/>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88"/>
    </row>
    <row r="111">
      <c r="A111" s="222"/>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88"/>
    </row>
    <row r="112">
      <c r="A112" s="222"/>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88"/>
    </row>
    <row r="113">
      <c r="A113" s="222"/>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88"/>
    </row>
    <row r="114">
      <c r="A114" s="222"/>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88"/>
    </row>
    <row r="115">
      <c r="A115" s="222"/>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88"/>
    </row>
    <row r="116">
      <c r="A116" s="222"/>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88"/>
    </row>
    <row r="117">
      <c r="A117" s="222"/>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88"/>
    </row>
    <row r="118">
      <c r="A118" s="222"/>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88"/>
    </row>
    <row r="119">
      <c r="A119" s="222"/>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88"/>
    </row>
    <row r="120">
      <c r="A120" s="222"/>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88"/>
    </row>
    <row r="121">
      <c r="A121" s="222"/>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88"/>
    </row>
    <row r="122">
      <c r="A122" s="222"/>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88"/>
    </row>
    <row r="123">
      <c r="A123" s="222"/>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88"/>
    </row>
    <row r="124">
      <c r="A124" s="222"/>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88"/>
    </row>
    <row r="125">
      <c r="A125" s="222"/>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88"/>
    </row>
    <row r="126">
      <c r="A126" s="222"/>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88"/>
    </row>
    <row r="127">
      <c r="A127" s="222"/>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88"/>
    </row>
    <row r="128">
      <c r="A128" s="222"/>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88"/>
    </row>
    <row r="129">
      <c r="A129" s="222"/>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88"/>
    </row>
    <row r="130">
      <c r="A130" s="222"/>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88"/>
    </row>
    <row r="131">
      <c r="A131" s="222"/>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88"/>
    </row>
    <row r="132">
      <c r="A132" s="222"/>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88"/>
    </row>
    <row r="133">
      <c r="A133" s="222"/>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88"/>
    </row>
    <row r="134">
      <c r="A134" s="222"/>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88"/>
    </row>
    <row r="135">
      <c r="A135" s="222"/>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88"/>
    </row>
    <row r="136">
      <c r="A136" s="222"/>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88"/>
    </row>
    <row r="137">
      <c r="A137" s="222"/>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88"/>
    </row>
    <row r="138">
      <c r="A138" s="222"/>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88"/>
    </row>
    <row r="139">
      <c r="A139" s="222"/>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88"/>
    </row>
    <row r="140">
      <c r="A140" s="222"/>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88"/>
    </row>
    <row r="141">
      <c r="A141" s="222"/>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88"/>
    </row>
    <row r="142">
      <c r="A142" s="222"/>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88"/>
    </row>
    <row r="143">
      <c r="A143" s="222"/>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88"/>
    </row>
    <row r="144">
      <c r="A144" s="222"/>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88"/>
    </row>
    <row r="145">
      <c r="A145" s="222"/>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88"/>
    </row>
    <row r="146">
      <c r="A146" s="222"/>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88"/>
    </row>
    <row r="147">
      <c r="A147" s="222"/>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88"/>
    </row>
    <row r="148">
      <c r="A148" s="222"/>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88"/>
    </row>
    <row r="149">
      <c r="A149" s="222"/>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88"/>
    </row>
    <row r="150">
      <c r="A150" s="222"/>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88"/>
    </row>
    <row r="151">
      <c r="A151" s="222"/>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88"/>
    </row>
    <row r="152">
      <c r="A152" s="222"/>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88"/>
    </row>
    <row r="153">
      <c r="A153" s="222"/>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88"/>
    </row>
    <row r="154">
      <c r="A154" s="222"/>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88"/>
    </row>
    <row r="155">
      <c r="A155" s="222"/>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88"/>
    </row>
    <row r="156">
      <c r="A156" s="222"/>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88"/>
    </row>
    <row r="157">
      <c r="A157" s="222"/>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88"/>
    </row>
    <row r="158">
      <c r="A158" s="222"/>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88"/>
    </row>
    <row r="159">
      <c r="A159" s="222"/>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88"/>
    </row>
    <row r="160">
      <c r="A160" s="222"/>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88"/>
    </row>
    <row r="161">
      <c r="A161" s="222"/>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88"/>
    </row>
    <row r="162">
      <c r="A162" s="222"/>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88"/>
    </row>
    <row r="163">
      <c r="A163" s="222"/>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88"/>
    </row>
    <row r="164">
      <c r="A164" s="222"/>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88"/>
    </row>
    <row r="165">
      <c r="A165" s="222"/>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88"/>
    </row>
    <row r="166">
      <c r="A166" s="222"/>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88"/>
    </row>
    <row r="167">
      <c r="A167" s="222"/>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88"/>
    </row>
    <row r="168">
      <c r="A168" s="222"/>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88"/>
    </row>
    <row r="169">
      <c r="A169" s="222"/>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88"/>
    </row>
    <row r="170">
      <c r="A170" s="222"/>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88"/>
    </row>
    <row r="171">
      <c r="A171" s="222"/>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88"/>
    </row>
    <row r="172">
      <c r="A172" s="222"/>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88"/>
    </row>
    <row r="173">
      <c r="A173" s="222"/>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88"/>
    </row>
    <row r="174">
      <c r="A174" s="222"/>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88"/>
    </row>
    <row r="175">
      <c r="A175" s="222"/>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88"/>
    </row>
    <row r="176">
      <c r="A176" s="222"/>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88"/>
    </row>
    <row r="177">
      <c r="A177" s="222"/>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88"/>
    </row>
    <row r="178">
      <c r="A178" s="222"/>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88"/>
    </row>
    <row r="179">
      <c r="A179" s="222"/>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88"/>
    </row>
    <row r="180">
      <c r="A180" s="222"/>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88"/>
    </row>
    <row r="181">
      <c r="A181" s="222"/>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88"/>
    </row>
    <row r="182">
      <c r="A182" s="222"/>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88"/>
    </row>
    <row r="183">
      <c r="A183" s="222"/>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88"/>
    </row>
    <row r="184">
      <c r="A184" s="222"/>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88"/>
    </row>
    <row r="185">
      <c r="A185" s="222"/>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88"/>
    </row>
    <row r="186">
      <c r="A186" s="222"/>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88"/>
    </row>
    <row r="187">
      <c r="A187" s="222"/>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88"/>
    </row>
    <row r="188">
      <c r="A188" s="222"/>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88"/>
    </row>
    <row r="189">
      <c r="A189" s="222"/>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88"/>
    </row>
    <row r="190">
      <c r="A190" s="222"/>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88"/>
    </row>
    <row r="191">
      <c r="A191" s="222"/>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88"/>
    </row>
    <row r="192">
      <c r="A192" s="222"/>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88"/>
    </row>
    <row r="193">
      <c r="A193" s="222"/>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88"/>
    </row>
    <row r="194">
      <c r="A194" s="222"/>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88"/>
    </row>
    <row r="195">
      <c r="A195" s="222"/>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88"/>
    </row>
    <row r="196">
      <c r="A196" s="222"/>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88"/>
    </row>
    <row r="197">
      <c r="A197" s="222"/>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88"/>
    </row>
    <row r="198">
      <c r="A198" s="222"/>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88"/>
    </row>
    <row r="199">
      <c r="A199" s="222"/>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88"/>
    </row>
    <row r="200">
      <c r="A200" s="222"/>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88"/>
    </row>
    <row r="201">
      <c r="A201" s="222"/>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88"/>
    </row>
    <row r="202">
      <c r="A202" s="222"/>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88"/>
    </row>
    <row r="203">
      <c r="A203" s="222"/>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88"/>
    </row>
    <row r="204">
      <c r="A204" s="222"/>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88"/>
    </row>
    <row r="205">
      <c r="A205" s="222"/>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88"/>
    </row>
    <row r="206">
      <c r="A206" s="222"/>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88"/>
    </row>
    <row r="207">
      <c r="A207" s="222"/>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88"/>
    </row>
    <row r="208">
      <c r="A208" s="222"/>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88"/>
    </row>
    <row r="209">
      <c r="A209" s="222"/>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88"/>
    </row>
    <row r="210">
      <c r="A210" s="222"/>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88"/>
    </row>
    <row r="211">
      <c r="A211" s="222"/>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88"/>
    </row>
    <row r="212">
      <c r="A212" s="222"/>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88"/>
    </row>
    <row r="213">
      <c r="A213" s="222"/>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88"/>
    </row>
    <row r="214">
      <c r="A214" s="222"/>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88"/>
    </row>
    <row r="215">
      <c r="A215" s="222"/>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88"/>
    </row>
    <row r="216">
      <c r="A216" s="222"/>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88"/>
    </row>
    <row r="217">
      <c r="A217" s="222"/>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88"/>
    </row>
    <row r="218">
      <c r="A218" s="222"/>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88"/>
    </row>
    <row r="219">
      <c r="A219" s="222"/>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88"/>
    </row>
    <row r="220">
      <c r="A220" s="222"/>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88"/>
    </row>
    <row r="221">
      <c r="A221" s="222"/>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88"/>
    </row>
    <row r="222">
      <c r="A222" s="222"/>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88"/>
    </row>
    <row r="223">
      <c r="A223" s="222"/>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88"/>
    </row>
    <row r="224">
      <c r="A224" s="222"/>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88"/>
    </row>
    <row r="225">
      <c r="A225" s="222"/>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88"/>
    </row>
    <row r="226">
      <c r="A226" s="222"/>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88"/>
    </row>
    <row r="227">
      <c r="A227" s="222"/>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88"/>
    </row>
    <row r="228">
      <c r="A228" s="222"/>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88"/>
    </row>
    <row r="229">
      <c r="A229" s="222"/>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88"/>
    </row>
    <row r="230">
      <c r="A230" s="222"/>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88"/>
    </row>
    <row r="231">
      <c r="A231" s="222"/>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88"/>
    </row>
    <row r="232">
      <c r="A232" s="222"/>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88"/>
    </row>
    <row r="233">
      <c r="A233" s="222"/>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88"/>
    </row>
    <row r="234">
      <c r="A234" s="222"/>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88"/>
    </row>
    <row r="235">
      <c r="A235" s="222"/>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88"/>
    </row>
    <row r="236">
      <c r="A236" s="222"/>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88"/>
    </row>
    <row r="237">
      <c r="A237" s="222"/>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88"/>
    </row>
    <row r="238">
      <c r="A238" s="222"/>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88"/>
    </row>
    <row r="239">
      <c r="A239" s="222"/>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88"/>
    </row>
    <row r="240">
      <c r="A240" s="222"/>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88"/>
    </row>
    <row r="241">
      <c r="A241" s="222"/>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88"/>
    </row>
    <row r="242">
      <c r="A242" s="222"/>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88"/>
    </row>
    <row r="243">
      <c r="A243" s="222"/>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88"/>
    </row>
    <row r="244">
      <c r="A244" s="222"/>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88"/>
    </row>
    <row r="245">
      <c r="A245" s="222"/>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88"/>
    </row>
    <row r="246">
      <c r="A246" s="222"/>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88"/>
    </row>
    <row r="247">
      <c r="A247" s="222"/>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88"/>
    </row>
    <row r="248">
      <c r="A248" s="222"/>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88"/>
    </row>
    <row r="249">
      <c r="A249" s="222"/>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88"/>
    </row>
    <row r="250">
      <c r="A250" s="222"/>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88"/>
    </row>
    <row r="251">
      <c r="A251" s="222"/>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88"/>
    </row>
    <row r="252">
      <c r="A252" s="222"/>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88"/>
    </row>
    <row r="253">
      <c r="A253" s="222"/>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88"/>
    </row>
    <row r="254">
      <c r="A254" s="222"/>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88"/>
    </row>
    <row r="255">
      <c r="A255" s="222"/>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88"/>
    </row>
    <row r="256">
      <c r="A256" s="222"/>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88"/>
    </row>
    <row r="257">
      <c r="A257" s="222"/>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88"/>
    </row>
    <row r="258">
      <c r="A258" s="222"/>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88"/>
    </row>
    <row r="259">
      <c r="A259" s="222"/>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88"/>
    </row>
    <row r="260">
      <c r="A260" s="222"/>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88"/>
    </row>
    <row r="261">
      <c r="A261" s="222"/>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88"/>
    </row>
    <row r="262">
      <c r="A262" s="222"/>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88"/>
    </row>
    <row r="263">
      <c r="A263" s="222"/>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88"/>
    </row>
    <row r="264">
      <c r="A264" s="222"/>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88"/>
    </row>
    <row r="265">
      <c r="A265" s="222"/>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88"/>
    </row>
    <row r="266">
      <c r="A266" s="222"/>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88"/>
    </row>
    <row r="267">
      <c r="A267" s="222"/>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88"/>
    </row>
    <row r="268">
      <c r="A268" s="222"/>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88"/>
    </row>
    <row r="269">
      <c r="A269" s="222"/>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88"/>
    </row>
    <row r="270">
      <c r="A270" s="222"/>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88"/>
    </row>
    <row r="271">
      <c r="A271" s="222"/>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88"/>
    </row>
    <row r="272">
      <c r="A272" s="222"/>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88"/>
    </row>
    <row r="273">
      <c r="A273" s="222"/>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88"/>
    </row>
    <row r="274">
      <c r="A274" s="222"/>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88"/>
    </row>
    <row r="275">
      <c r="A275" s="222"/>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88"/>
    </row>
    <row r="276">
      <c r="A276" s="222"/>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88"/>
    </row>
    <row r="277">
      <c r="A277" s="222"/>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88"/>
    </row>
    <row r="278">
      <c r="A278" s="222"/>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88"/>
    </row>
    <row r="279">
      <c r="A279" s="222"/>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88"/>
    </row>
    <row r="280">
      <c r="A280" s="222"/>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88"/>
    </row>
    <row r="281">
      <c r="A281" s="222"/>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88"/>
    </row>
    <row r="282">
      <c r="A282" s="222"/>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88"/>
    </row>
    <row r="283">
      <c r="A283" s="222"/>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88"/>
    </row>
    <row r="284">
      <c r="A284" s="222"/>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88"/>
    </row>
    <row r="285">
      <c r="A285" s="222"/>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88"/>
    </row>
    <row r="286">
      <c r="A286" s="222"/>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88"/>
    </row>
    <row r="287">
      <c r="A287" s="222"/>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88"/>
    </row>
    <row r="288">
      <c r="A288" s="222"/>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88"/>
    </row>
    <row r="289">
      <c r="A289" s="222"/>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88"/>
    </row>
    <row r="290">
      <c r="A290" s="222"/>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88"/>
    </row>
    <row r="291">
      <c r="A291" s="222"/>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88"/>
    </row>
    <row r="292">
      <c r="A292" s="222"/>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88"/>
    </row>
    <row r="293">
      <c r="A293" s="222"/>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88"/>
    </row>
    <row r="294">
      <c r="A294" s="222"/>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88"/>
    </row>
    <row r="295">
      <c r="A295" s="222"/>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88"/>
    </row>
    <row r="296">
      <c r="A296" s="222"/>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88"/>
    </row>
    <row r="297">
      <c r="A297" s="222"/>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88"/>
    </row>
    <row r="298">
      <c r="A298" s="222"/>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88"/>
    </row>
    <row r="299">
      <c r="A299" s="222"/>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88"/>
    </row>
    <row r="300">
      <c r="A300" s="222"/>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88"/>
    </row>
    <row r="301">
      <c r="A301" s="222"/>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88"/>
    </row>
    <row r="302">
      <c r="A302" s="222"/>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88"/>
    </row>
    <row r="303">
      <c r="A303" s="222"/>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88"/>
    </row>
    <row r="304">
      <c r="A304" s="222"/>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88"/>
    </row>
    <row r="305">
      <c r="A305" s="222"/>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88"/>
    </row>
    <row r="306">
      <c r="A306" s="222"/>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88"/>
    </row>
    <row r="307">
      <c r="A307" s="222"/>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88"/>
    </row>
    <row r="308">
      <c r="A308" s="222"/>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88"/>
    </row>
    <row r="309">
      <c r="A309" s="222"/>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88"/>
    </row>
    <row r="310">
      <c r="A310" s="222"/>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88"/>
    </row>
    <row r="311">
      <c r="A311" s="222"/>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88"/>
    </row>
    <row r="312">
      <c r="A312" s="222"/>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88"/>
    </row>
    <row r="313">
      <c r="A313" s="222"/>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88"/>
    </row>
    <row r="314">
      <c r="A314" s="222"/>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88"/>
    </row>
    <row r="315">
      <c r="A315" s="222"/>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88"/>
    </row>
    <row r="316">
      <c r="A316" s="222"/>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88"/>
    </row>
    <row r="317">
      <c r="A317" s="222"/>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88"/>
    </row>
    <row r="318">
      <c r="A318" s="222"/>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88"/>
    </row>
    <row r="319">
      <c r="A319" s="222"/>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88"/>
    </row>
    <row r="320">
      <c r="A320" s="222"/>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88"/>
    </row>
    <row r="321">
      <c r="A321" s="222"/>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88"/>
    </row>
    <row r="322">
      <c r="A322" s="222"/>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88"/>
    </row>
    <row r="323">
      <c r="A323" s="222"/>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88"/>
    </row>
    <row r="324">
      <c r="A324" s="222"/>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88"/>
    </row>
    <row r="325">
      <c r="A325" s="222"/>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88"/>
    </row>
    <row r="326">
      <c r="A326" s="222"/>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88"/>
    </row>
    <row r="327">
      <c r="A327" s="222"/>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88"/>
    </row>
    <row r="328">
      <c r="A328" s="222"/>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88"/>
    </row>
    <row r="329">
      <c r="A329" s="222"/>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88"/>
    </row>
    <row r="330">
      <c r="A330" s="222"/>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88"/>
    </row>
    <row r="331">
      <c r="A331" s="222"/>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88"/>
    </row>
    <row r="332">
      <c r="A332" s="222"/>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88"/>
    </row>
    <row r="333">
      <c r="A333" s="222"/>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88"/>
    </row>
    <row r="334">
      <c r="A334" s="222"/>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88"/>
    </row>
    <row r="335">
      <c r="A335" s="222"/>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88"/>
    </row>
    <row r="336">
      <c r="A336" s="222"/>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88"/>
    </row>
    <row r="337">
      <c r="A337" s="222"/>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88"/>
    </row>
    <row r="338">
      <c r="A338" s="222"/>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88"/>
    </row>
    <row r="339">
      <c r="A339" s="222"/>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88"/>
    </row>
    <row r="340">
      <c r="A340" s="222"/>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88"/>
    </row>
    <row r="341">
      <c r="A341" s="222"/>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88"/>
    </row>
    <row r="342">
      <c r="A342" s="222"/>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88"/>
    </row>
    <row r="343">
      <c r="A343" s="222"/>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88"/>
    </row>
    <row r="344">
      <c r="A344" s="222"/>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88"/>
    </row>
    <row r="345">
      <c r="A345" s="222"/>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88"/>
    </row>
    <row r="346">
      <c r="A346" s="222"/>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88"/>
    </row>
    <row r="347">
      <c r="A347" s="222"/>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88"/>
    </row>
    <row r="348">
      <c r="A348" s="222"/>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88"/>
    </row>
    <row r="349">
      <c r="A349" s="222"/>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88"/>
    </row>
    <row r="350">
      <c r="A350" s="222"/>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88"/>
    </row>
    <row r="351">
      <c r="A351" s="222"/>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88"/>
    </row>
    <row r="352">
      <c r="A352" s="222"/>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88"/>
    </row>
    <row r="353">
      <c r="A353" s="222"/>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88"/>
    </row>
    <row r="354">
      <c r="A354" s="222"/>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88"/>
    </row>
    <row r="355">
      <c r="A355" s="222"/>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88"/>
    </row>
    <row r="356">
      <c r="A356" s="222"/>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88"/>
    </row>
    <row r="357">
      <c r="A357" s="222"/>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88"/>
    </row>
    <row r="358">
      <c r="A358" s="222"/>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88"/>
    </row>
    <row r="359">
      <c r="A359" s="222"/>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88"/>
    </row>
    <row r="360">
      <c r="A360" s="222"/>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88"/>
    </row>
    <row r="361">
      <c r="A361" s="222"/>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88"/>
    </row>
    <row r="362">
      <c r="A362" s="222"/>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88"/>
    </row>
    <row r="363">
      <c r="A363" s="222"/>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88"/>
    </row>
    <row r="364">
      <c r="A364" s="222"/>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88"/>
    </row>
    <row r="365">
      <c r="A365" s="222"/>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88"/>
    </row>
    <row r="366">
      <c r="A366" s="222"/>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88"/>
    </row>
    <row r="367">
      <c r="A367" s="222"/>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88"/>
    </row>
    <row r="368">
      <c r="A368" s="222"/>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88"/>
    </row>
    <row r="369">
      <c r="A369" s="222"/>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88"/>
    </row>
    <row r="370">
      <c r="A370" s="222"/>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88"/>
    </row>
    <row r="371">
      <c r="A371" s="222"/>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88"/>
    </row>
    <row r="372">
      <c r="A372" s="222"/>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88"/>
    </row>
    <row r="373">
      <c r="A373" s="222"/>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88"/>
    </row>
    <row r="374">
      <c r="A374" s="222"/>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88"/>
    </row>
    <row r="375">
      <c r="A375" s="222"/>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88"/>
    </row>
    <row r="376">
      <c r="A376" s="222"/>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88"/>
    </row>
    <row r="377">
      <c r="A377" s="222"/>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88"/>
    </row>
    <row r="378">
      <c r="A378" s="222"/>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88"/>
    </row>
    <row r="379">
      <c r="A379" s="222"/>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88"/>
    </row>
    <row r="380">
      <c r="A380" s="222"/>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88"/>
    </row>
    <row r="381">
      <c r="A381" s="222"/>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88"/>
    </row>
    <row r="382">
      <c r="A382" s="222"/>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88"/>
    </row>
    <row r="383">
      <c r="A383" s="222"/>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88"/>
    </row>
    <row r="384">
      <c r="A384" s="222"/>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88"/>
    </row>
    <row r="385">
      <c r="A385" s="222"/>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88"/>
    </row>
    <row r="386">
      <c r="A386" s="222"/>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88"/>
    </row>
    <row r="387">
      <c r="A387" s="222"/>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88"/>
    </row>
    <row r="388">
      <c r="A388" s="222"/>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88"/>
    </row>
    <row r="389">
      <c r="A389" s="222"/>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88"/>
    </row>
    <row r="390">
      <c r="A390" s="222"/>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88"/>
    </row>
    <row r="391">
      <c r="A391" s="222"/>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88"/>
    </row>
    <row r="392">
      <c r="A392" s="222"/>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88"/>
    </row>
    <row r="393">
      <c r="A393" s="222"/>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88"/>
    </row>
    <row r="394">
      <c r="A394" s="222"/>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88"/>
    </row>
    <row r="395">
      <c r="A395" s="222"/>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88"/>
    </row>
    <row r="396">
      <c r="A396" s="222"/>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88"/>
    </row>
    <row r="397">
      <c r="A397" s="222"/>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88"/>
    </row>
    <row r="398">
      <c r="A398" s="222"/>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88"/>
    </row>
    <row r="399">
      <c r="A399" s="222"/>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88"/>
    </row>
    <row r="400">
      <c r="A400" s="222"/>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88"/>
    </row>
    <row r="401">
      <c r="A401" s="222"/>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88"/>
    </row>
    <row r="402">
      <c r="A402" s="222"/>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88"/>
    </row>
    <row r="403">
      <c r="A403" s="222"/>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88"/>
    </row>
    <row r="404">
      <c r="A404" s="222"/>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88"/>
    </row>
    <row r="405">
      <c r="A405" s="222"/>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88"/>
    </row>
    <row r="406">
      <c r="A406" s="222"/>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88"/>
    </row>
    <row r="407">
      <c r="A407" s="222"/>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88"/>
    </row>
    <row r="408">
      <c r="A408" s="222"/>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88"/>
    </row>
    <row r="409">
      <c r="A409" s="222"/>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88"/>
    </row>
    <row r="410">
      <c r="A410" s="222"/>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88"/>
    </row>
    <row r="411">
      <c r="A411" s="222"/>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88"/>
    </row>
    <row r="412">
      <c r="A412" s="222"/>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88"/>
    </row>
    <row r="413">
      <c r="A413" s="222"/>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88"/>
    </row>
    <row r="414">
      <c r="A414" s="222"/>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88"/>
    </row>
    <row r="415">
      <c r="A415" s="222"/>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88"/>
    </row>
    <row r="416">
      <c r="A416" s="222"/>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88"/>
    </row>
    <row r="417">
      <c r="A417" s="222"/>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88"/>
    </row>
    <row r="418">
      <c r="A418" s="222"/>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88"/>
    </row>
    <row r="419">
      <c r="A419" s="222"/>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88"/>
    </row>
    <row r="420">
      <c r="A420" s="222"/>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88"/>
    </row>
    <row r="421">
      <c r="A421" s="222"/>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88"/>
    </row>
    <row r="422">
      <c r="A422" s="222"/>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88"/>
    </row>
    <row r="423">
      <c r="A423" s="222"/>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88"/>
    </row>
    <row r="424">
      <c r="A424" s="222"/>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88"/>
    </row>
    <row r="425">
      <c r="A425" s="222"/>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88"/>
    </row>
    <row r="426">
      <c r="A426" s="222"/>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88"/>
    </row>
    <row r="427">
      <c r="A427" s="222"/>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88"/>
    </row>
    <row r="428">
      <c r="A428" s="222"/>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88"/>
    </row>
    <row r="429">
      <c r="A429" s="222"/>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88"/>
    </row>
    <row r="430">
      <c r="A430" s="222"/>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88"/>
    </row>
    <row r="431">
      <c r="A431" s="222"/>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88"/>
    </row>
    <row r="432">
      <c r="A432" s="222"/>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88"/>
    </row>
    <row r="433">
      <c r="A433" s="222"/>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88"/>
    </row>
    <row r="434">
      <c r="A434" s="222"/>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88"/>
    </row>
    <row r="435">
      <c r="A435" s="222"/>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88"/>
    </row>
    <row r="436">
      <c r="A436" s="222"/>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88"/>
    </row>
    <row r="437">
      <c r="A437" s="222"/>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88"/>
    </row>
    <row r="438">
      <c r="A438" s="222"/>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88"/>
    </row>
    <row r="439">
      <c r="A439" s="222"/>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88"/>
    </row>
    <row r="440">
      <c r="A440" s="222"/>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88"/>
    </row>
    <row r="441">
      <c r="A441" s="222"/>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88"/>
    </row>
    <row r="442">
      <c r="A442" s="222"/>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88"/>
    </row>
    <row r="443">
      <c r="A443" s="222"/>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88"/>
    </row>
    <row r="444">
      <c r="A444" s="222"/>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88"/>
    </row>
    <row r="445">
      <c r="A445" s="222"/>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88"/>
    </row>
    <row r="446">
      <c r="A446" s="222"/>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88"/>
    </row>
    <row r="447">
      <c r="A447" s="222"/>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88"/>
    </row>
    <row r="448">
      <c r="A448" s="222"/>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88"/>
    </row>
    <row r="449">
      <c r="A449" s="222"/>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88"/>
    </row>
    <row r="450">
      <c r="A450" s="222"/>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88"/>
    </row>
    <row r="451">
      <c r="A451" s="222"/>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88"/>
    </row>
    <row r="452">
      <c r="A452" s="222"/>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88"/>
    </row>
    <row r="453">
      <c r="A453" s="222"/>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88"/>
    </row>
    <row r="454">
      <c r="A454" s="222"/>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88"/>
    </row>
    <row r="455">
      <c r="A455" s="222"/>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88"/>
    </row>
    <row r="456">
      <c r="A456" s="222"/>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88"/>
    </row>
    <row r="457">
      <c r="A457" s="222"/>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88"/>
    </row>
    <row r="458">
      <c r="A458" s="222"/>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88"/>
    </row>
    <row r="459">
      <c r="A459" s="222"/>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88"/>
    </row>
    <row r="460">
      <c r="A460" s="222"/>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88"/>
    </row>
    <row r="461">
      <c r="A461" s="222"/>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88"/>
    </row>
    <row r="462">
      <c r="A462" s="222"/>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88"/>
    </row>
    <row r="463">
      <c r="A463" s="222"/>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88"/>
    </row>
    <row r="464">
      <c r="A464" s="222"/>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88"/>
    </row>
    <row r="465">
      <c r="A465" s="222"/>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88"/>
    </row>
    <row r="466">
      <c r="A466" s="222"/>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88"/>
    </row>
    <row r="467">
      <c r="A467" s="222"/>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88"/>
    </row>
    <row r="468">
      <c r="A468" s="222"/>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88"/>
    </row>
    <row r="469">
      <c r="A469" s="222"/>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88"/>
    </row>
    <row r="470">
      <c r="A470" s="222"/>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88"/>
    </row>
    <row r="471">
      <c r="A471" s="222"/>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88"/>
    </row>
    <row r="472">
      <c r="A472" s="222"/>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88"/>
    </row>
    <row r="473">
      <c r="A473" s="222"/>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88"/>
    </row>
    <row r="474">
      <c r="A474" s="222"/>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88"/>
    </row>
    <row r="475">
      <c r="A475" s="222"/>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88"/>
    </row>
    <row r="476">
      <c r="A476" s="222"/>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88"/>
    </row>
    <row r="477">
      <c r="A477" s="222"/>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88"/>
    </row>
    <row r="478">
      <c r="A478" s="222"/>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88"/>
    </row>
    <row r="479">
      <c r="A479" s="222"/>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88"/>
    </row>
    <row r="480">
      <c r="A480" s="222"/>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88"/>
    </row>
    <row r="481">
      <c r="A481" s="222"/>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88"/>
    </row>
    <row r="482">
      <c r="A482" s="222"/>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88"/>
    </row>
    <row r="483">
      <c r="A483" s="222"/>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88"/>
    </row>
    <row r="484">
      <c r="A484" s="222"/>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88"/>
    </row>
    <row r="485">
      <c r="A485" s="222"/>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88"/>
    </row>
    <row r="486">
      <c r="A486" s="222"/>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88"/>
    </row>
    <row r="487">
      <c r="A487" s="222"/>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88"/>
    </row>
    <row r="488">
      <c r="A488" s="222"/>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88"/>
    </row>
    <row r="489">
      <c r="A489" s="222"/>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88"/>
    </row>
    <row r="490">
      <c r="A490" s="222"/>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88"/>
    </row>
    <row r="491">
      <c r="A491" s="222"/>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88"/>
    </row>
    <row r="492">
      <c r="A492" s="222"/>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88"/>
    </row>
    <row r="493">
      <c r="A493" s="222"/>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88"/>
    </row>
    <row r="494">
      <c r="A494" s="222"/>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88"/>
    </row>
    <row r="495">
      <c r="A495" s="222"/>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88"/>
    </row>
    <row r="496">
      <c r="A496" s="222"/>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88"/>
    </row>
    <row r="497">
      <c r="A497" s="222"/>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88"/>
    </row>
    <row r="498">
      <c r="A498" s="222"/>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88"/>
    </row>
    <row r="499">
      <c r="A499" s="222"/>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88"/>
    </row>
    <row r="500">
      <c r="A500" s="222"/>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88"/>
    </row>
    <row r="501">
      <c r="A501" s="222"/>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88"/>
    </row>
    <row r="502">
      <c r="A502" s="222"/>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88"/>
    </row>
    <row r="503">
      <c r="A503" s="222"/>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88"/>
    </row>
    <row r="504">
      <c r="A504" s="222"/>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88"/>
    </row>
    <row r="505">
      <c r="A505" s="222"/>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88"/>
    </row>
    <row r="506">
      <c r="A506" s="222"/>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88"/>
    </row>
    <row r="507">
      <c r="A507" s="222"/>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88"/>
    </row>
    <row r="508">
      <c r="A508" s="222"/>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88"/>
    </row>
    <row r="509">
      <c r="A509" s="222"/>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88"/>
    </row>
    <row r="510">
      <c r="A510" s="222"/>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88"/>
    </row>
    <row r="511">
      <c r="A511" s="222"/>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88"/>
    </row>
    <row r="512">
      <c r="A512" s="222"/>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88"/>
    </row>
    <row r="513">
      <c r="A513" s="222"/>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88"/>
    </row>
    <row r="514">
      <c r="A514" s="222"/>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88"/>
    </row>
    <row r="515">
      <c r="A515" s="222"/>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88"/>
    </row>
    <row r="516">
      <c r="A516" s="222"/>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88"/>
    </row>
    <row r="517">
      <c r="A517" s="222"/>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88"/>
    </row>
    <row r="518">
      <c r="A518" s="222"/>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88"/>
    </row>
    <row r="519">
      <c r="A519" s="222"/>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88"/>
    </row>
    <row r="520">
      <c r="A520" s="222"/>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88"/>
    </row>
    <row r="521">
      <c r="A521" s="222"/>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88"/>
    </row>
    <row r="522">
      <c r="A522" s="222"/>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88"/>
    </row>
    <row r="523">
      <c r="A523" s="222"/>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88"/>
    </row>
    <row r="524">
      <c r="A524" s="222"/>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88"/>
    </row>
    <row r="525">
      <c r="A525" s="222"/>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88"/>
    </row>
    <row r="526">
      <c r="A526" s="222"/>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88"/>
    </row>
    <row r="527">
      <c r="A527" s="222"/>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88"/>
    </row>
    <row r="528">
      <c r="A528" s="222"/>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88"/>
    </row>
    <row r="529">
      <c r="A529" s="222"/>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88"/>
    </row>
    <row r="530">
      <c r="A530" s="222"/>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88"/>
    </row>
    <row r="531">
      <c r="A531" s="222"/>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88"/>
    </row>
    <row r="532">
      <c r="A532" s="222"/>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88"/>
    </row>
    <row r="533">
      <c r="A533" s="222"/>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88"/>
    </row>
    <row r="534">
      <c r="A534" s="222"/>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88"/>
    </row>
    <row r="535">
      <c r="A535" s="222"/>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88"/>
    </row>
    <row r="536">
      <c r="A536" s="222"/>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88"/>
    </row>
    <row r="537">
      <c r="A537" s="222"/>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88"/>
    </row>
    <row r="538">
      <c r="A538" s="222"/>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88"/>
    </row>
    <row r="539">
      <c r="A539" s="222"/>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88"/>
    </row>
    <row r="540">
      <c r="A540" s="222"/>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88"/>
    </row>
    <row r="541">
      <c r="A541" s="222"/>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88"/>
    </row>
    <row r="542">
      <c r="A542" s="222"/>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88"/>
    </row>
    <row r="543">
      <c r="A543" s="222"/>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88"/>
    </row>
    <row r="544">
      <c r="A544" s="222"/>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88"/>
    </row>
    <row r="545">
      <c r="A545" s="222"/>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88"/>
    </row>
    <row r="546">
      <c r="A546" s="222"/>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88"/>
    </row>
    <row r="547">
      <c r="A547" s="222"/>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88"/>
    </row>
    <row r="548">
      <c r="A548" s="222"/>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88"/>
    </row>
    <row r="549">
      <c r="A549" s="222"/>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88"/>
    </row>
    <row r="550">
      <c r="A550" s="222"/>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88"/>
    </row>
    <row r="551">
      <c r="A551" s="222"/>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88"/>
    </row>
    <row r="552">
      <c r="A552" s="222"/>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88"/>
    </row>
    <row r="553">
      <c r="A553" s="222"/>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88"/>
    </row>
    <row r="554">
      <c r="A554" s="222"/>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88"/>
    </row>
    <row r="555">
      <c r="A555" s="222"/>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88"/>
    </row>
    <row r="556">
      <c r="A556" s="222"/>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88"/>
    </row>
    <row r="557">
      <c r="A557" s="222"/>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88"/>
    </row>
    <row r="558">
      <c r="A558" s="222"/>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88"/>
    </row>
    <row r="559">
      <c r="A559" s="222"/>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88"/>
    </row>
    <row r="560">
      <c r="A560" s="222"/>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88"/>
    </row>
    <row r="561">
      <c r="A561" s="222"/>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88"/>
    </row>
    <row r="562">
      <c r="A562" s="222"/>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88"/>
    </row>
    <row r="563">
      <c r="A563" s="222"/>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88"/>
    </row>
    <row r="564">
      <c r="A564" s="222"/>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88"/>
    </row>
    <row r="565">
      <c r="A565" s="222"/>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88"/>
    </row>
    <row r="566">
      <c r="A566" s="222"/>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88"/>
    </row>
    <row r="567">
      <c r="A567" s="222"/>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88"/>
    </row>
    <row r="568">
      <c r="A568" s="222"/>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88"/>
    </row>
    <row r="569">
      <c r="A569" s="222"/>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88"/>
    </row>
    <row r="570">
      <c r="A570" s="222"/>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88"/>
    </row>
    <row r="571">
      <c r="A571" s="222"/>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88"/>
    </row>
    <row r="572">
      <c r="A572" s="222"/>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88"/>
    </row>
    <row r="573">
      <c r="A573" s="222"/>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88"/>
    </row>
    <row r="574">
      <c r="A574" s="222"/>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88"/>
    </row>
    <row r="575">
      <c r="A575" s="222"/>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88"/>
    </row>
    <row r="576">
      <c r="A576" s="222"/>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88"/>
    </row>
    <row r="577">
      <c r="A577" s="222"/>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88"/>
    </row>
    <row r="578">
      <c r="A578" s="222"/>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88"/>
    </row>
    <row r="579">
      <c r="A579" s="222"/>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88"/>
    </row>
    <row r="580">
      <c r="A580" s="222"/>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88"/>
    </row>
    <row r="581">
      <c r="A581" s="222"/>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88"/>
    </row>
    <row r="582">
      <c r="A582" s="222"/>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88"/>
    </row>
    <row r="583">
      <c r="A583" s="222"/>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88"/>
    </row>
    <row r="584">
      <c r="A584" s="222"/>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88"/>
    </row>
    <row r="585">
      <c r="A585" s="222"/>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88"/>
    </row>
    <row r="586">
      <c r="A586" s="222"/>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88"/>
    </row>
    <row r="587">
      <c r="A587" s="222"/>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88"/>
    </row>
    <row r="588">
      <c r="A588" s="222"/>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88"/>
    </row>
    <row r="589">
      <c r="A589" s="222"/>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88"/>
    </row>
    <row r="590">
      <c r="A590" s="222"/>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88"/>
    </row>
    <row r="591">
      <c r="A591" s="222"/>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88"/>
    </row>
    <row r="592">
      <c r="A592" s="222"/>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88"/>
    </row>
    <row r="593">
      <c r="A593" s="222"/>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88"/>
    </row>
    <row r="594">
      <c r="A594" s="222"/>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88"/>
    </row>
    <row r="595">
      <c r="A595" s="222"/>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88"/>
    </row>
    <row r="596">
      <c r="A596" s="222"/>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88"/>
    </row>
    <row r="597">
      <c r="A597" s="222"/>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88"/>
    </row>
    <row r="598">
      <c r="A598" s="222"/>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88"/>
    </row>
    <row r="599">
      <c r="A599" s="222"/>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88"/>
    </row>
    <row r="600">
      <c r="A600" s="222"/>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88"/>
    </row>
    <row r="601">
      <c r="A601" s="222"/>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88"/>
    </row>
    <row r="602">
      <c r="A602" s="222"/>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88"/>
    </row>
    <row r="603">
      <c r="A603" s="222"/>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88"/>
    </row>
    <row r="604">
      <c r="A604" s="222"/>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88"/>
    </row>
    <row r="605">
      <c r="A605" s="222"/>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88"/>
    </row>
    <row r="606">
      <c r="A606" s="222"/>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88"/>
    </row>
    <row r="607">
      <c r="A607" s="222"/>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88"/>
    </row>
    <row r="608">
      <c r="A608" s="222"/>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88"/>
    </row>
    <row r="609">
      <c r="A609" s="222"/>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88"/>
    </row>
    <row r="610">
      <c r="A610" s="222"/>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88"/>
    </row>
    <row r="611">
      <c r="A611" s="222"/>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88"/>
    </row>
    <row r="612">
      <c r="A612" s="222"/>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88"/>
    </row>
    <row r="613">
      <c r="A613" s="222"/>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88"/>
    </row>
    <row r="614">
      <c r="A614" s="222"/>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88"/>
    </row>
    <row r="615">
      <c r="A615" s="222"/>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88"/>
    </row>
    <row r="616">
      <c r="A616" s="222"/>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88"/>
    </row>
    <row r="617">
      <c r="A617" s="222"/>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88"/>
    </row>
    <row r="618">
      <c r="A618" s="222"/>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88"/>
    </row>
    <row r="619">
      <c r="A619" s="222"/>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88"/>
    </row>
    <row r="620">
      <c r="A620" s="222"/>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88"/>
    </row>
    <row r="621">
      <c r="A621" s="222"/>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88"/>
    </row>
    <row r="622">
      <c r="A622" s="222"/>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88"/>
    </row>
    <row r="623">
      <c r="A623" s="222"/>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88"/>
    </row>
    <row r="624">
      <c r="A624" s="222"/>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88"/>
    </row>
    <row r="625">
      <c r="A625" s="222"/>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88"/>
    </row>
    <row r="626">
      <c r="A626" s="222"/>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88"/>
    </row>
    <row r="627">
      <c r="A627" s="222"/>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88"/>
    </row>
    <row r="628">
      <c r="A628" s="222"/>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88"/>
    </row>
    <row r="629">
      <c r="A629" s="222"/>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88"/>
    </row>
    <row r="630">
      <c r="A630" s="222"/>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88"/>
    </row>
    <row r="631">
      <c r="A631" s="222"/>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88"/>
    </row>
    <row r="632">
      <c r="A632" s="222"/>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88"/>
    </row>
    <row r="633">
      <c r="A633" s="222"/>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88"/>
    </row>
    <row r="634">
      <c r="A634" s="222"/>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88"/>
    </row>
    <row r="635">
      <c r="A635" s="222"/>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88"/>
    </row>
    <row r="636">
      <c r="A636" s="222"/>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88"/>
    </row>
    <row r="637">
      <c r="A637" s="222"/>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88"/>
    </row>
    <row r="638">
      <c r="A638" s="222"/>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88"/>
    </row>
    <row r="639">
      <c r="A639" s="222"/>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88"/>
    </row>
    <row r="640">
      <c r="A640" s="222"/>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88"/>
    </row>
    <row r="641">
      <c r="A641" s="222"/>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88"/>
    </row>
    <row r="642">
      <c r="A642" s="222"/>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88"/>
    </row>
    <row r="643">
      <c r="A643" s="222"/>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88"/>
    </row>
    <row r="644">
      <c r="A644" s="222"/>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88"/>
    </row>
    <row r="645">
      <c r="A645" s="222"/>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88"/>
    </row>
    <row r="646">
      <c r="A646" s="222"/>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88"/>
    </row>
    <row r="647">
      <c r="A647" s="222"/>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88"/>
    </row>
    <row r="648">
      <c r="A648" s="222"/>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88"/>
    </row>
    <row r="649">
      <c r="A649" s="222"/>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88"/>
    </row>
    <row r="650">
      <c r="A650" s="222"/>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88"/>
    </row>
    <row r="651">
      <c r="A651" s="222"/>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88"/>
    </row>
    <row r="652">
      <c r="A652" s="222"/>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88"/>
    </row>
    <row r="653">
      <c r="A653" s="222"/>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88"/>
    </row>
    <row r="654">
      <c r="A654" s="222"/>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88"/>
    </row>
    <row r="655">
      <c r="A655" s="222"/>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88"/>
    </row>
    <row r="656">
      <c r="A656" s="222"/>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88"/>
    </row>
    <row r="657">
      <c r="A657" s="222"/>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88"/>
    </row>
    <row r="658">
      <c r="A658" s="222"/>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88"/>
    </row>
    <row r="659">
      <c r="A659" s="222"/>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88"/>
    </row>
    <row r="660">
      <c r="A660" s="222"/>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88"/>
    </row>
    <row r="661">
      <c r="A661" s="222"/>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88"/>
    </row>
    <row r="662">
      <c r="A662" s="222"/>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88"/>
    </row>
    <row r="663">
      <c r="A663" s="222"/>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88"/>
    </row>
    <row r="664">
      <c r="A664" s="222"/>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88"/>
    </row>
    <row r="665">
      <c r="A665" s="222"/>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88"/>
    </row>
    <row r="666">
      <c r="A666" s="222"/>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88"/>
    </row>
    <row r="667">
      <c r="A667" s="222"/>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88"/>
    </row>
    <row r="668">
      <c r="A668" s="222"/>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88"/>
    </row>
    <row r="669">
      <c r="A669" s="222"/>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88"/>
    </row>
    <row r="670">
      <c r="A670" s="222"/>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88"/>
    </row>
    <row r="671">
      <c r="A671" s="222"/>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88"/>
    </row>
    <row r="672">
      <c r="A672" s="222"/>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88"/>
    </row>
    <row r="673">
      <c r="A673" s="222"/>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88"/>
    </row>
    <row r="674">
      <c r="A674" s="222"/>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88"/>
    </row>
    <row r="675">
      <c r="A675" s="222"/>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88"/>
    </row>
    <row r="676">
      <c r="A676" s="222"/>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88"/>
    </row>
    <row r="677">
      <c r="A677" s="222"/>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88"/>
    </row>
    <row r="678">
      <c r="A678" s="222"/>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88"/>
    </row>
    <row r="679">
      <c r="A679" s="222"/>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88"/>
    </row>
    <row r="680">
      <c r="A680" s="222"/>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88"/>
    </row>
    <row r="681">
      <c r="A681" s="222"/>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88"/>
    </row>
    <row r="682">
      <c r="A682" s="222"/>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88"/>
    </row>
    <row r="683">
      <c r="A683" s="222"/>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88"/>
    </row>
    <row r="684">
      <c r="A684" s="222"/>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88"/>
    </row>
    <row r="685">
      <c r="A685" s="222"/>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88"/>
    </row>
    <row r="686">
      <c r="A686" s="222"/>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88"/>
    </row>
    <row r="687">
      <c r="A687" s="222"/>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88"/>
    </row>
    <row r="688">
      <c r="A688" s="222"/>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88"/>
    </row>
    <row r="689">
      <c r="A689" s="222"/>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88"/>
    </row>
    <row r="690">
      <c r="A690" s="222"/>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88"/>
    </row>
    <row r="691">
      <c r="A691" s="222"/>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88"/>
    </row>
    <row r="692">
      <c r="A692" s="222"/>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88"/>
    </row>
    <row r="693">
      <c r="A693" s="222"/>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88"/>
    </row>
    <row r="694">
      <c r="A694" s="222"/>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88"/>
    </row>
    <row r="695">
      <c r="A695" s="222"/>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88"/>
    </row>
    <row r="696">
      <c r="A696" s="222"/>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88"/>
    </row>
    <row r="697">
      <c r="A697" s="222"/>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88"/>
    </row>
    <row r="698">
      <c r="A698" s="222"/>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88"/>
    </row>
    <row r="699">
      <c r="A699" s="222"/>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88"/>
    </row>
    <row r="700">
      <c r="A700" s="222"/>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88"/>
    </row>
    <row r="701">
      <c r="A701" s="222"/>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88"/>
    </row>
    <row r="702">
      <c r="A702" s="222"/>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88"/>
    </row>
    <row r="703">
      <c r="A703" s="222"/>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88"/>
    </row>
    <row r="704">
      <c r="A704" s="222"/>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88"/>
    </row>
    <row r="705">
      <c r="A705" s="222"/>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88"/>
    </row>
    <row r="706">
      <c r="A706" s="222"/>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88"/>
    </row>
    <row r="707">
      <c r="A707" s="222"/>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88"/>
    </row>
    <row r="708">
      <c r="A708" s="222"/>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88"/>
    </row>
    <row r="709">
      <c r="A709" s="222"/>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88"/>
    </row>
    <row r="710">
      <c r="A710" s="222"/>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88"/>
    </row>
    <row r="711">
      <c r="A711" s="222"/>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88"/>
    </row>
    <row r="712">
      <c r="A712" s="222"/>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88"/>
    </row>
    <row r="713">
      <c r="A713" s="222"/>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88"/>
    </row>
    <row r="714">
      <c r="A714" s="222"/>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88"/>
    </row>
    <row r="715">
      <c r="A715" s="222"/>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88"/>
    </row>
    <row r="716">
      <c r="A716" s="222"/>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88"/>
    </row>
    <row r="717">
      <c r="A717" s="222"/>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88"/>
    </row>
    <row r="718">
      <c r="A718" s="222"/>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88"/>
    </row>
    <row r="719">
      <c r="A719" s="222"/>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88"/>
    </row>
    <row r="720">
      <c r="A720" s="222"/>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88"/>
    </row>
    <row r="721">
      <c r="A721" s="222"/>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88"/>
    </row>
    <row r="722">
      <c r="A722" s="222"/>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88"/>
    </row>
    <row r="723">
      <c r="A723" s="222"/>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88"/>
    </row>
    <row r="724">
      <c r="A724" s="222"/>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88"/>
    </row>
    <row r="725">
      <c r="A725" s="222"/>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88"/>
    </row>
    <row r="726">
      <c r="A726" s="222"/>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88"/>
    </row>
    <row r="727">
      <c r="A727" s="222"/>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88"/>
    </row>
    <row r="728">
      <c r="A728" s="222"/>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88"/>
    </row>
    <row r="729">
      <c r="A729" s="222"/>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88"/>
    </row>
    <row r="730">
      <c r="A730" s="222"/>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88"/>
    </row>
    <row r="731">
      <c r="A731" s="222"/>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88"/>
    </row>
    <row r="732">
      <c r="A732" s="222"/>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88"/>
    </row>
    <row r="733">
      <c r="A733" s="222"/>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88"/>
    </row>
    <row r="734">
      <c r="A734" s="222"/>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88"/>
    </row>
    <row r="735">
      <c r="A735" s="222"/>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88"/>
    </row>
    <row r="736">
      <c r="A736" s="222"/>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88"/>
    </row>
    <row r="737">
      <c r="A737" s="222"/>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88"/>
    </row>
    <row r="738">
      <c r="A738" s="222"/>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88"/>
    </row>
    <row r="739">
      <c r="A739" s="222"/>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88"/>
    </row>
    <row r="740">
      <c r="A740" s="222"/>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88"/>
    </row>
    <row r="741">
      <c r="A741" s="222"/>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88"/>
    </row>
    <row r="742">
      <c r="A742" s="222"/>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88"/>
    </row>
    <row r="743">
      <c r="A743" s="222"/>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88"/>
    </row>
    <row r="744">
      <c r="A744" s="222"/>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88"/>
    </row>
    <row r="745">
      <c r="A745" s="222"/>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88"/>
    </row>
    <row r="746">
      <c r="A746" s="222"/>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88"/>
    </row>
    <row r="747">
      <c r="A747" s="222"/>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88"/>
    </row>
    <row r="748">
      <c r="A748" s="222"/>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88"/>
    </row>
    <row r="749">
      <c r="A749" s="222"/>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88"/>
    </row>
    <row r="750">
      <c r="A750" s="222"/>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88"/>
    </row>
    <row r="751">
      <c r="A751" s="222"/>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88"/>
    </row>
    <row r="752">
      <c r="A752" s="222"/>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88"/>
    </row>
    <row r="753">
      <c r="A753" s="222"/>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88"/>
    </row>
    <row r="754">
      <c r="A754" s="222"/>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88"/>
    </row>
    <row r="755">
      <c r="A755" s="222"/>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88"/>
    </row>
    <row r="756">
      <c r="A756" s="222"/>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88"/>
    </row>
    <row r="757">
      <c r="A757" s="222"/>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88"/>
    </row>
    <row r="758">
      <c r="A758" s="222"/>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88"/>
    </row>
    <row r="759">
      <c r="A759" s="222"/>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88"/>
    </row>
    <row r="760">
      <c r="A760" s="222"/>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88"/>
    </row>
    <row r="761">
      <c r="A761" s="222"/>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88"/>
    </row>
    <row r="762">
      <c r="A762" s="222"/>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88"/>
    </row>
    <row r="763">
      <c r="A763" s="222"/>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88"/>
    </row>
    <row r="764">
      <c r="A764" s="222"/>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88"/>
    </row>
    <row r="765">
      <c r="A765" s="222"/>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88"/>
    </row>
    <row r="766">
      <c r="A766" s="222"/>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88"/>
    </row>
    <row r="767">
      <c r="A767" s="222"/>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88"/>
    </row>
    <row r="768">
      <c r="A768" s="222"/>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88"/>
    </row>
    <row r="769">
      <c r="A769" s="222"/>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88"/>
    </row>
    <row r="770">
      <c r="A770" s="222"/>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88"/>
    </row>
    <row r="771">
      <c r="A771" s="222"/>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88"/>
    </row>
    <row r="772">
      <c r="A772" s="222"/>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88"/>
    </row>
    <row r="773">
      <c r="A773" s="222"/>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88"/>
    </row>
    <row r="774">
      <c r="A774" s="222"/>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88"/>
    </row>
    <row r="775">
      <c r="A775" s="222"/>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88"/>
    </row>
    <row r="776">
      <c r="A776" s="222"/>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88"/>
    </row>
    <row r="777">
      <c r="A777" s="222"/>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88"/>
    </row>
    <row r="778">
      <c r="A778" s="222"/>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88"/>
    </row>
    <row r="779">
      <c r="A779" s="222"/>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88"/>
    </row>
    <row r="780">
      <c r="A780" s="222"/>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88"/>
    </row>
    <row r="781">
      <c r="A781" s="222"/>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88"/>
    </row>
    <row r="782">
      <c r="A782" s="222"/>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88"/>
    </row>
    <row r="783">
      <c r="A783" s="222"/>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88"/>
    </row>
    <row r="784">
      <c r="A784" s="222"/>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88"/>
    </row>
    <row r="785">
      <c r="A785" s="222"/>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88"/>
    </row>
    <row r="786">
      <c r="A786" s="222"/>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88"/>
    </row>
    <row r="787">
      <c r="A787" s="222"/>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88"/>
    </row>
    <row r="788">
      <c r="A788" s="222"/>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88"/>
    </row>
    <row r="789">
      <c r="A789" s="222"/>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88"/>
    </row>
    <row r="790">
      <c r="A790" s="222"/>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88"/>
    </row>
    <row r="791">
      <c r="A791" s="222"/>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88"/>
    </row>
    <row r="792">
      <c r="A792" s="222"/>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88"/>
    </row>
    <row r="793">
      <c r="A793" s="222"/>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88"/>
    </row>
    <row r="794">
      <c r="A794" s="222"/>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88"/>
    </row>
    <row r="795">
      <c r="A795" s="222"/>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88"/>
    </row>
    <row r="796">
      <c r="A796" s="222"/>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88"/>
    </row>
    <row r="797">
      <c r="A797" s="222"/>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88"/>
    </row>
    <row r="798">
      <c r="A798" s="222"/>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88"/>
    </row>
    <row r="799">
      <c r="A799" s="222"/>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88"/>
    </row>
    <row r="800">
      <c r="A800" s="222"/>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88"/>
    </row>
    <row r="801">
      <c r="A801" s="222"/>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88"/>
    </row>
    <row r="802">
      <c r="A802" s="222"/>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88"/>
    </row>
    <row r="803">
      <c r="A803" s="222"/>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88"/>
    </row>
    <row r="804">
      <c r="A804" s="222"/>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88"/>
    </row>
    <row r="805">
      <c r="A805" s="222"/>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88"/>
    </row>
    <row r="806">
      <c r="A806" s="222"/>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88"/>
    </row>
    <row r="807">
      <c r="A807" s="222"/>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88"/>
    </row>
    <row r="808">
      <c r="A808" s="222"/>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88"/>
    </row>
    <row r="809">
      <c r="A809" s="222"/>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88"/>
    </row>
    <row r="810">
      <c r="A810" s="222"/>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88"/>
    </row>
    <row r="811">
      <c r="A811" s="222"/>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88"/>
    </row>
    <row r="812">
      <c r="A812" s="222"/>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88"/>
    </row>
    <row r="813">
      <c r="A813" s="222"/>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88"/>
    </row>
    <row r="814">
      <c r="A814" s="222"/>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88"/>
    </row>
    <row r="815">
      <c r="A815" s="222"/>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88"/>
    </row>
    <row r="816">
      <c r="A816" s="222"/>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88"/>
    </row>
    <row r="817">
      <c r="A817" s="222"/>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88"/>
    </row>
    <row r="818">
      <c r="A818" s="222"/>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88"/>
    </row>
    <row r="819">
      <c r="A819" s="222"/>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88"/>
    </row>
    <row r="820">
      <c r="A820" s="222"/>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88"/>
    </row>
    <row r="821">
      <c r="A821" s="222"/>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88"/>
    </row>
    <row r="822">
      <c r="A822" s="222"/>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88"/>
    </row>
    <row r="823">
      <c r="A823" s="222"/>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88"/>
    </row>
    <row r="824">
      <c r="A824" s="222"/>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88"/>
    </row>
    <row r="825">
      <c r="A825" s="222"/>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88"/>
    </row>
    <row r="826">
      <c r="A826" s="222"/>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88"/>
    </row>
    <row r="827">
      <c r="A827" s="222"/>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88"/>
    </row>
    <row r="828">
      <c r="A828" s="222"/>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88"/>
    </row>
    <row r="829">
      <c r="A829" s="222"/>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88"/>
    </row>
    <row r="830">
      <c r="A830" s="222"/>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88"/>
    </row>
    <row r="831">
      <c r="A831" s="222"/>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88"/>
    </row>
    <row r="832">
      <c r="A832" s="222"/>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88"/>
    </row>
    <row r="833">
      <c r="A833" s="222"/>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88"/>
    </row>
    <row r="834">
      <c r="A834" s="222"/>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88"/>
    </row>
    <row r="835">
      <c r="A835" s="222"/>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88"/>
    </row>
    <row r="836">
      <c r="A836" s="222"/>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88"/>
    </row>
    <row r="837">
      <c r="A837" s="222"/>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88"/>
    </row>
    <row r="838">
      <c r="A838" s="222"/>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88"/>
    </row>
    <row r="839">
      <c r="A839" s="222"/>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88"/>
    </row>
    <row r="840">
      <c r="A840" s="222"/>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88"/>
    </row>
    <row r="841">
      <c r="A841" s="222"/>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88"/>
    </row>
    <row r="842">
      <c r="A842" s="222"/>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88"/>
    </row>
    <row r="843">
      <c r="A843" s="222"/>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88"/>
    </row>
    <row r="844">
      <c r="A844" s="222"/>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88"/>
    </row>
    <row r="845">
      <c r="A845" s="222"/>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88"/>
    </row>
    <row r="846">
      <c r="A846" s="222"/>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88"/>
    </row>
    <row r="847">
      <c r="A847" s="222"/>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88"/>
    </row>
    <row r="848">
      <c r="A848" s="222"/>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88"/>
    </row>
    <row r="849">
      <c r="A849" s="222"/>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88"/>
    </row>
    <row r="850">
      <c r="A850" s="222"/>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88"/>
    </row>
    <row r="851">
      <c r="A851" s="222"/>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88"/>
    </row>
    <row r="852">
      <c r="A852" s="222"/>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88"/>
    </row>
    <row r="853">
      <c r="A853" s="222"/>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88"/>
    </row>
    <row r="854">
      <c r="A854" s="222"/>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88"/>
    </row>
    <row r="855">
      <c r="A855" s="222"/>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88"/>
    </row>
    <row r="856">
      <c r="A856" s="222"/>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88"/>
    </row>
    <row r="857">
      <c r="A857" s="222"/>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88"/>
    </row>
    <row r="858">
      <c r="A858" s="222"/>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88"/>
    </row>
    <row r="859">
      <c r="A859" s="222"/>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88"/>
    </row>
    <row r="860">
      <c r="A860" s="222"/>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88"/>
    </row>
    <row r="861">
      <c r="A861" s="222"/>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88"/>
    </row>
    <row r="862">
      <c r="A862" s="222"/>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88"/>
    </row>
    <row r="863">
      <c r="A863" s="222"/>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88"/>
    </row>
    <row r="864">
      <c r="A864" s="222"/>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88"/>
    </row>
    <row r="865">
      <c r="A865" s="222"/>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88"/>
    </row>
    <row r="866">
      <c r="A866" s="222"/>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88"/>
    </row>
    <row r="867">
      <c r="A867" s="222"/>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88"/>
    </row>
    <row r="868">
      <c r="A868" s="222"/>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88"/>
    </row>
    <row r="869">
      <c r="A869" s="222"/>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88"/>
    </row>
    <row r="870">
      <c r="A870" s="222"/>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88"/>
    </row>
    <row r="871">
      <c r="A871" s="222"/>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88"/>
    </row>
    <row r="872">
      <c r="A872" s="222"/>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88"/>
    </row>
    <row r="873">
      <c r="A873" s="222"/>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88"/>
    </row>
    <row r="874">
      <c r="A874" s="222"/>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88"/>
    </row>
    <row r="875">
      <c r="A875" s="222"/>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88"/>
    </row>
    <row r="876">
      <c r="A876" s="222"/>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88"/>
    </row>
    <row r="877">
      <c r="A877" s="222"/>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88"/>
    </row>
    <row r="878">
      <c r="A878" s="222"/>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88"/>
    </row>
    <row r="879">
      <c r="A879" s="222"/>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88"/>
    </row>
    <row r="880">
      <c r="A880" s="222"/>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88"/>
    </row>
    <row r="881">
      <c r="A881" s="222"/>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88"/>
    </row>
    <row r="882">
      <c r="A882" s="222"/>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88"/>
    </row>
    <row r="883">
      <c r="A883" s="222"/>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88"/>
    </row>
    <row r="884">
      <c r="A884" s="222"/>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88"/>
    </row>
    <row r="885">
      <c r="A885" s="222"/>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88"/>
    </row>
    <row r="886">
      <c r="A886" s="222"/>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88"/>
    </row>
    <row r="887">
      <c r="A887" s="222"/>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88"/>
    </row>
    <row r="888">
      <c r="A888" s="222"/>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88"/>
    </row>
    <row r="889">
      <c r="A889" s="222"/>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88"/>
    </row>
    <row r="890">
      <c r="A890" s="222"/>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88"/>
    </row>
    <row r="891">
      <c r="A891" s="222"/>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88"/>
    </row>
    <row r="892">
      <c r="A892" s="222"/>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88"/>
    </row>
    <row r="893">
      <c r="A893" s="222"/>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88"/>
    </row>
    <row r="894">
      <c r="A894" s="222"/>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88"/>
    </row>
    <row r="895">
      <c r="A895" s="222"/>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88"/>
    </row>
    <row r="896">
      <c r="A896" s="222"/>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88"/>
    </row>
    <row r="897">
      <c r="A897" s="222"/>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88"/>
    </row>
    <row r="898">
      <c r="A898" s="222"/>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88"/>
    </row>
    <row r="899">
      <c r="A899" s="222"/>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88"/>
    </row>
    <row r="900">
      <c r="A900" s="222"/>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88"/>
    </row>
    <row r="901">
      <c r="A901" s="222"/>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88"/>
    </row>
    <row r="902">
      <c r="A902" s="222"/>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88"/>
    </row>
    <row r="903">
      <c r="A903" s="222"/>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88"/>
    </row>
    <row r="904">
      <c r="A904" s="222"/>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88"/>
    </row>
    <row r="905">
      <c r="A905" s="222"/>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88"/>
    </row>
    <row r="906">
      <c r="A906" s="222"/>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88"/>
    </row>
    <row r="907">
      <c r="A907" s="222"/>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88"/>
    </row>
    <row r="908">
      <c r="A908" s="222"/>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88"/>
    </row>
    <row r="909">
      <c r="A909" s="222"/>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88"/>
    </row>
    <row r="910">
      <c r="A910" s="222"/>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88"/>
    </row>
    <row r="911">
      <c r="A911" s="222"/>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88"/>
    </row>
    <row r="912">
      <c r="A912" s="222"/>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88"/>
    </row>
    <row r="913">
      <c r="A913" s="222"/>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88"/>
    </row>
    <row r="914">
      <c r="A914" s="222"/>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88"/>
    </row>
    <row r="915">
      <c r="A915" s="222"/>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88"/>
    </row>
    <row r="916">
      <c r="A916" s="222"/>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88"/>
    </row>
    <row r="917">
      <c r="A917" s="222"/>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88"/>
    </row>
    <row r="918">
      <c r="A918" s="222"/>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88"/>
    </row>
    <row r="919">
      <c r="A919" s="222"/>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88"/>
    </row>
    <row r="920">
      <c r="A920" s="222"/>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88"/>
    </row>
    <row r="921">
      <c r="A921" s="222"/>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88"/>
    </row>
    <row r="922">
      <c r="A922" s="222"/>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88"/>
    </row>
    <row r="923">
      <c r="A923" s="222"/>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88"/>
    </row>
    <row r="924">
      <c r="A924" s="222"/>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88"/>
    </row>
    <row r="925">
      <c r="A925" s="222"/>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88"/>
    </row>
    <row r="926">
      <c r="A926" s="222"/>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88"/>
    </row>
    <row r="927">
      <c r="A927" s="222"/>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88"/>
    </row>
    <row r="928">
      <c r="A928" s="222"/>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88"/>
    </row>
    <row r="929">
      <c r="A929" s="222"/>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88"/>
    </row>
    <row r="930">
      <c r="A930" s="222"/>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88"/>
    </row>
    <row r="931">
      <c r="A931" s="222"/>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88"/>
    </row>
    <row r="932">
      <c r="A932" s="222"/>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88"/>
    </row>
    <row r="933">
      <c r="A933" s="222"/>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88"/>
    </row>
    <row r="934">
      <c r="A934" s="222"/>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88"/>
    </row>
    <row r="935">
      <c r="A935" s="222"/>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88"/>
    </row>
    <row r="936">
      <c r="A936" s="222"/>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88"/>
    </row>
    <row r="937">
      <c r="A937" s="222"/>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88"/>
    </row>
    <row r="938">
      <c r="A938" s="222"/>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88"/>
    </row>
    <row r="939">
      <c r="A939" s="222"/>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88"/>
    </row>
    <row r="940">
      <c r="A940" s="222"/>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88"/>
    </row>
    <row r="941">
      <c r="A941" s="222"/>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88"/>
    </row>
    <row r="942">
      <c r="A942" s="222"/>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88"/>
    </row>
    <row r="943">
      <c r="A943" s="222"/>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88"/>
    </row>
    <row r="944">
      <c r="A944" s="222"/>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88"/>
    </row>
    <row r="945">
      <c r="A945" s="222"/>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88"/>
    </row>
    <row r="946">
      <c r="A946" s="222"/>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88"/>
    </row>
    <row r="947">
      <c r="A947" s="222"/>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88"/>
    </row>
    <row r="948">
      <c r="A948" s="222"/>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88"/>
    </row>
    <row r="949">
      <c r="A949" s="222"/>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88"/>
    </row>
    <row r="950">
      <c r="A950" s="222"/>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88"/>
    </row>
    <row r="951">
      <c r="A951" s="222"/>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88"/>
    </row>
    <row r="952">
      <c r="A952" s="222"/>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88"/>
    </row>
    <row r="953">
      <c r="A953" s="222"/>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88"/>
    </row>
    <row r="954">
      <c r="A954" s="222"/>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88"/>
    </row>
    <row r="955">
      <c r="A955" s="222"/>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88"/>
    </row>
    <row r="956">
      <c r="A956" s="222"/>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88"/>
    </row>
    <row r="957">
      <c r="A957" s="222"/>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88"/>
    </row>
    <row r="958">
      <c r="A958" s="222"/>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88"/>
    </row>
    <row r="959">
      <c r="A959" s="222"/>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88"/>
    </row>
    <row r="960">
      <c r="A960" s="222"/>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88"/>
    </row>
    <row r="961">
      <c r="A961" s="222"/>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88"/>
    </row>
    <row r="962">
      <c r="A962" s="222"/>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88"/>
    </row>
    <row r="963">
      <c r="A963" s="222"/>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88"/>
    </row>
    <row r="964">
      <c r="A964" s="222"/>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88"/>
    </row>
    <row r="965">
      <c r="A965" s="222"/>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88"/>
    </row>
    <row r="966">
      <c r="A966" s="222"/>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88"/>
    </row>
    <row r="967">
      <c r="A967" s="222"/>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88"/>
    </row>
    <row r="968">
      <c r="A968" s="222"/>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88"/>
    </row>
    <row r="969">
      <c r="A969" s="222"/>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88"/>
    </row>
    <row r="970">
      <c r="A970" s="222"/>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88"/>
    </row>
    <row r="971">
      <c r="A971" s="222"/>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88"/>
    </row>
    <row r="972">
      <c r="A972" s="222"/>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88"/>
    </row>
    <row r="973">
      <c r="A973" s="222"/>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88"/>
    </row>
    <row r="974">
      <c r="A974" s="222"/>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88"/>
    </row>
    <row r="975">
      <c r="A975" s="222"/>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88"/>
    </row>
    <row r="976">
      <c r="A976" s="222"/>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88"/>
    </row>
    <row r="977">
      <c r="A977" s="222"/>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88"/>
    </row>
    <row r="978">
      <c r="A978" s="222"/>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88"/>
    </row>
    <row r="979">
      <c r="A979" s="222"/>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88"/>
    </row>
    <row r="980">
      <c r="A980" s="222"/>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88"/>
    </row>
    <row r="981">
      <c r="A981" s="222"/>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88"/>
    </row>
    <row r="982">
      <c r="A982" s="222"/>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88"/>
    </row>
    <row r="983">
      <c r="A983" s="222"/>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88"/>
    </row>
    <row r="984">
      <c r="A984" s="222"/>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88"/>
    </row>
    <row r="985">
      <c r="A985" s="222"/>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88"/>
    </row>
    <row r="986">
      <c r="A986" s="222"/>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88"/>
    </row>
    <row r="987">
      <c r="A987" s="222"/>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88"/>
    </row>
    <row r="988">
      <c r="A988" s="222"/>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88"/>
    </row>
    <row r="989">
      <c r="A989" s="222"/>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88"/>
    </row>
    <row r="990">
      <c r="A990" s="222"/>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88"/>
    </row>
    <row r="991">
      <c r="A991" s="222"/>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88"/>
    </row>
    <row r="992">
      <c r="A992" s="222"/>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88"/>
    </row>
    <row r="993">
      <c r="A993" s="222"/>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88"/>
    </row>
    <row r="994">
      <c r="A994" s="222"/>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88"/>
    </row>
    <row r="995">
      <c r="A995" s="222"/>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88"/>
    </row>
    <row r="996">
      <c r="A996" s="222"/>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88"/>
    </row>
    <row r="997">
      <c r="A997" s="222"/>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88"/>
    </row>
    <row r="998">
      <c r="A998" s="222"/>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88"/>
    </row>
    <row r="999">
      <c r="A999" s="222"/>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88"/>
    </row>
    <row r="1000">
      <c r="A1000" s="225"/>
      <c r="B1000" s="226"/>
      <c r="C1000" s="226"/>
      <c r="D1000" s="226"/>
      <c r="E1000" s="226"/>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7"/>
    </row>
  </sheetData>
  <mergeCells count="1">
    <mergeCell ref="D1:F1"/>
  </mergeCells>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13"/>
    <col customWidth="1" min="8" max="8" width="28.25"/>
    <col customWidth="1" min="9" max="9" width="21.5"/>
  </cols>
  <sheetData>
    <row r="1">
      <c r="A1" s="39" t="s">
        <v>183</v>
      </c>
    </row>
    <row r="2">
      <c r="A2" s="152" t="s">
        <v>146</v>
      </c>
      <c r="B2" s="179" t="s">
        <v>147</v>
      </c>
      <c r="C2" s="152" t="s">
        <v>148</v>
      </c>
      <c r="D2" s="152" t="s">
        <v>149</v>
      </c>
      <c r="E2" s="179" t="s">
        <v>150</v>
      </c>
      <c r="F2" s="180" t="s">
        <v>112</v>
      </c>
      <c r="G2" s="179" t="s">
        <v>151</v>
      </c>
      <c r="H2" s="179" t="s">
        <v>152</v>
      </c>
      <c r="I2" s="179" t="s">
        <v>153</v>
      </c>
      <c r="J2" s="179" t="s">
        <v>154</v>
      </c>
    </row>
    <row r="3">
      <c r="A3" s="51">
        <v>5.500507536E9</v>
      </c>
      <c r="B3" s="155">
        <v>45731.0</v>
      </c>
      <c r="C3" s="51" t="s">
        <v>130</v>
      </c>
      <c r="D3" s="51">
        <v>82885.0</v>
      </c>
      <c r="E3" s="150">
        <v>0.0</v>
      </c>
      <c r="F3" s="150">
        <f>D3-E3</f>
        <v>82885</v>
      </c>
      <c r="G3" s="156">
        <v>4250.0</v>
      </c>
      <c r="H3" s="158">
        <f t="shared" ref="H3:H10" si="1">IF(E3="","",(SUM($G$3*E3)))</f>
        <v>0</v>
      </c>
      <c r="I3" s="158">
        <f>F3*G3</f>
        <v>352261250</v>
      </c>
      <c r="J3" s="159" t="str">
        <f>IF(OR(D3="",E3=""),"",IF(F3&lt;=0,"Closed","Open"))</f>
        <v>Open</v>
      </c>
    </row>
    <row r="4">
      <c r="A4" s="94"/>
      <c r="B4" s="160">
        <v>45731.0</v>
      </c>
      <c r="C4" s="94"/>
      <c r="D4" s="94"/>
      <c r="E4" s="161">
        <v>8548.0</v>
      </c>
      <c r="F4" s="161">
        <f t="shared" ref="F4:F10" si="2">IF(E4="","",(SUM(F3-E4)))</f>
        <v>74337</v>
      </c>
      <c r="G4" s="94"/>
      <c r="H4" s="163">
        <f t="shared" si="1"/>
        <v>36329000</v>
      </c>
      <c r="I4" s="163">
        <f>IF(F4="","",(SUM(G3*F4)))</f>
        <v>315932250</v>
      </c>
      <c r="J4" s="164" t="str">
        <f t="shared" ref="J4:J10" si="3">IF(OR(F4="",E4=""),"",IF(F4&lt;=0,"Closed","Open"))</f>
        <v>Open</v>
      </c>
    </row>
    <row r="5">
      <c r="A5" s="61"/>
      <c r="B5" s="155">
        <v>45738.0</v>
      </c>
      <c r="C5" s="61"/>
      <c r="D5" s="61"/>
      <c r="E5" s="150">
        <v>8558.0</v>
      </c>
      <c r="F5" s="150">
        <f t="shared" si="2"/>
        <v>65779</v>
      </c>
      <c r="G5" s="61"/>
      <c r="H5" s="158">
        <f t="shared" si="1"/>
        <v>36371500</v>
      </c>
      <c r="I5" s="158">
        <f>IF(F5="","",(SUM(G3*F5)))</f>
        <v>279560750</v>
      </c>
      <c r="J5" s="159" t="str">
        <f t="shared" si="3"/>
        <v>Open</v>
      </c>
    </row>
    <row r="6">
      <c r="A6" s="94"/>
      <c r="B6" s="160">
        <v>45740.0</v>
      </c>
      <c r="C6" s="94"/>
      <c r="D6" s="94"/>
      <c r="E6" s="161">
        <v>4151.0</v>
      </c>
      <c r="F6" s="161">
        <f t="shared" si="2"/>
        <v>61628</v>
      </c>
      <c r="G6" s="94"/>
      <c r="H6" s="163">
        <f t="shared" si="1"/>
        <v>17641750</v>
      </c>
      <c r="I6" s="163">
        <f>IF(F6="","",(SUM(G3*F6)))</f>
        <v>261919000</v>
      </c>
      <c r="J6" s="164" t="str">
        <f t="shared" si="3"/>
        <v>Open</v>
      </c>
    </row>
    <row r="7">
      <c r="A7" s="61"/>
      <c r="B7" s="155">
        <v>45753.0</v>
      </c>
      <c r="C7" s="61"/>
      <c r="D7" s="61"/>
      <c r="E7" s="150">
        <v>3127.0</v>
      </c>
      <c r="F7" s="150">
        <f t="shared" si="2"/>
        <v>58501</v>
      </c>
      <c r="G7" s="61"/>
      <c r="H7" s="158">
        <f t="shared" si="1"/>
        <v>13289750</v>
      </c>
      <c r="I7" s="158">
        <f>IF(F7="","",(SUM(G3*F7)))</f>
        <v>248629250</v>
      </c>
      <c r="J7" s="159" t="str">
        <f t="shared" si="3"/>
        <v>Open</v>
      </c>
    </row>
    <row r="8">
      <c r="A8" s="94"/>
      <c r="B8" s="160">
        <v>45754.0</v>
      </c>
      <c r="C8" s="94"/>
      <c r="D8" s="94"/>
      <c r="E8" s="161">
        <v>7812.0</v>
      </c>
      <c r="F8" s="161">
        <f t="shared" si="2"/>
        <v>50689</v>
      </c>
      <c r="G8" s="94"/>
      <c r="H8" s="163">
        <f t="shared" si="1"/>
        <v>33201000</v>
      </c>
      <c r="I8" s="163">
        <f>IF(F8="","",(SUM(G3*F8)))</f>
        <v>215428250</v>
      </c>
      <c r="J8" s="164" t="str">
        <f t="shared" si="3"/>
        <v>Open</v>
      </c>
    </row>
    <row r="9">
      <c r="A9" s="61"/>
      <c r="B9" s="155"/>
      <c r="C9" s="61"/>
      <c r="D9" s="61"/>
      <c r="E9" s="150"/>
      <c r="F9" s="150" t="str">
        <f t="shared" si="2"/>
        <v/>
      </c>
      <c r="G9" s="61"/>
      <c r="H9" s="168" t="str">
        <f t="shared" si="1"/>
        <v/>
      </c>
      <c r="I9" s="168" t="str">
        <f>IF(F9="","",(SUM(G3*F9)))</f>
        <v/>
      </c>
      <c r="J9" s="159" t="str">
        <f t="shared" si="3"/>
        <v/>
      </c>
    </row>
    <row r="10">
      <c r="A10" s="138"/>
      <c r="B10" s="160"/>
      <c r="C10" s="138"/>
      <c r="D10" s="138"/>
      <c r="E10" s="161"/>
      <c r="F10" s="161" t="str">
        <f t="shared" si="2"/>
        <v/>
      </c>
      <c r="G10" s="138"/>
      <c r="H10" s="166" t="str">
        <f t="shared" si="1"/>
        <v/>
      </c>
      <c r="I10" s="166" t="str">
        <f>IF(F10="","",(SUM(G3*F10)))</f>
        <v/>
      </c>
      <c r="J10" s="164" t="str">
        <f t="shared" si="3"/>
        <v/>
      </c>
    </row>
    <row r="21">
      <c r="A21" s="152" t="s">
        <v>146</v>
      </c>
      <c r="B21" s="153" t="s">
        <v>147</v>
      </c>
      <c r="C21" s="152" t="s">
        <v>148</v>
      </c>
      <c r="D21" s="152" t="s">
        <v>149</v>
      </c>
      <c r="E21" s="153" t="s">
        <v>150</v>
      </c>
      <c r="F21" s="154" t="s">
        <v>112</v>
      </c>
      <c r="G21" s="153" t="s">
        <v>151</v>
      </c>
      <c r="H21" s="153" t="s">
        <v>152</v>
      </c>
      <c r="I21" s="153" t="s">
        <v>153</v>
      </c>
      <c r="J21" s="153" t="s">
        <v>154</v>
      </c>
    </row>
    <row r="22">
      <c r="A22" s="51">
        <v>5.500531848E9</v>
      </c>
      <c r="B22" s="155">
        <v>45764.0</v>
      </c>
      <c r="C22" s="51" t="s">
        <v>61</v>
      </c>
      <c r="D22" s="51">
        <v>100000.0</v>
      </c>
      <c r="E22" s="150">
        <v>0.0</v>
      </c>
      <c r="F22" s="150">
        <f>D22-E22</f>
        <v>100000</v>
      </c>
      <c r="G22" s="156">
        <v>3200.0</v>
      </c>
      <c r="H22" s="158">
        <f t="shared" ref="H22:H29" si="4">IF(E22="","",(SUM($G$3*E22)))</f>
        <v>0</v>
      </c>
      <c r="I22" s="158">
        <f>F22*G22</f>
        <v>320000000</v>
      </c>
      <c r="J22" s="159" t="str">
        <f>IF(OR(D22="",E22=""),"",IF(F22&lt;=0,"Closed","Open"))</f>
        <v>Open</v>
      </c>
    </row>
    <row r="23">
      <c r="A23" s="94"/>
      <c r="B23" s="160"/>
      <c r="C23" s="94"/>
      <c r="D23" s="94"/>
      <c r="E23" s="161"/>
      <c r="F23" s="161" t="str">
        <f t="shared" ref="F23:F29" si="5">IF(E23="","",(SUM(F22-E23)))</f>
        <v/>
      </c>
      <c r="G23" s="94"/>
      <c r="H23" s="166" t="str">
        <f t="shared" si="4"/>
        <v/>
      </c>
      <c r="I23" s="166" t="str">
        <f>IF(F23="","",(SUM(G22*F23)))</f>
        <v/>
      </c>
      <c r="J23" s="164" t="str">
        <f t="shared" ref="J23:J29" si="6">IF(OR(F23="",E23=""),"",IF(F23&lt;=0,"Closed","Open"))</f>
        <v/>
      </c>
    </row>
    <row r="24">
      <c r="A24" s="61"/>
      <c r="B24" s="155"/>
      <c r="C24" s="61"/>
      <c r="D24" s="61"/>
      <c r="E24" s="150"/>
      <c r="F24" s="150" t="str">
        <f t="shared" si="5"/>
        <v/>
      </c>
      <c r="G24" s="61"/>
      <c r="H24" s="168" t="str">
        <f t="shared" si="4"/>
        <v/>
      </c>
      <c r="I24" s="168" t="str">
        <f>IF(F24="","",(SUM(G22*F24)))</f>
        <v/>
      </c>
      <c r="J24" s="159" t="str">
        <f t="shared" si="6"/>
        <v/>
      </c>
    </row>
    <row r="25">
      <c r="A25" s="94"/>
      <c r="B25" s="160"/>
      <c r="C25" s="94"/>
      <c r="D25" s="94"/>
      <c r="E25" s="161"/>
      <c r="F25" s="161" t="str">
        <f t="shared" si="5"/>
        <v/>
      </c>
      <c r="G25" s="94"/>
      <c r="H25" s="166" t="str">
        <f t="shared" si="4"/>
        <v/>
      </c>
      <c r="I25" s="166" t="str">
        <f>IF(F25="","",(SUM(G22*F25)))</f>
        <v/>
      </c>
      <c r="J25" s="164" t="str">
        <f t="shared" si="6"/>
        <v/>
      </c>
    </row>
    <row r="26">
      <c r="A26" s="61"/>
      <c r="B26" s="155"/>
      <c r="C26" s="61"/>
      <c r="D26" s="61"/>
      <c r="E26" s="150"/>
      <c r="F26" s="150" t="str">
        <f t="shared" si="5"/>
        <v/>
      </c>
      <c r="G26" s="61"/>
      <c r="H26" s="168" t="str">
        <f t="shared" si="4"/>
        <v/>
      </c>
      <c r="I26" s="168" t="str">
        <f>IF(F26="","",(SUM(G22*F26)))</f>
        <v/>
      </c>
      <c r="J26" s="159" t="str">
        <f t="shared" si="6"/>
        <v/>
      </c>
    </row>
    <row r="27">
      <c r="A27" s="94"/>
      <c r="B27" s="160"/>
      <c r="C27" s="94"/>
      <c r="D27" s="94"/>
      <c r="E27" s="161"/>
      <c r="F27" s="161" t="str">
        <f t="shared" si="5"/>
        <v/>
      </c>
      <c r="G27" s="94"/>
      <c r="H27" s="166" t="str">
        <f t="shared" si="4"/>
        <v/>
      </c>
      <c r="I27" s="166" t="str">
        <f>IF(F27="","",(SUM(G22*F27)))</f>
        <v/>
      </c>
      <c r="J27" s="164" t="str">
        <f t="shared" si="6"/>
        <v/>
      </c>
    </row>
    <row r="28">
      <c r="A28" s="61"/>
      <c r="B28" s="155"/>
      <c r="C28" s="61"/>
      <c r="D28" s="61"/>
      <c r="E28" s="150"/>
      <c r="F28" s="150" t="str">
        <f t="shared" si="5"/>
        <v/>
      </c>
      <c r="G28" s="61"/>
      <c r="H28" s="168" t="str">
        <f t="shared" si="4"/>
        <v/>
      </c>
      <c r="I28" s="168" t="str">
        <f>IF(F28="","",(SUM(G22*F28)))</f>
        <v/>
      </c>
      <c r="J28" s="159" t="str">
        <f t="shared" si="6"/>
        <v/>
      </c>
    </row>
    <row r="29">
      <c r="A29" s="138"/>
      <c r="B29" s="160"/>
      <c r="C29" s="138"/>
      <c r="D29" s="138"/>
      <c r="E29" s="161"/>
      <c r="F29" s="161" t="str">
        <f t="shared" si="5"/>
        <v/>
      </c>
      <c r="G29" s="138"/>
      <c r="H29" s="166" t="str">
        <f t="shared" si="4"/>
        <v/>
      </c>
      <c r="I29" s="166" t="str">
        <f>IF(F29="","",(SUM(G22*F29)))</f>
        <v/>
      </c>
      <c r="J29" s="164" t="str">
        <f t="shared" si="6"/>
        <v/>
      </c>
    </row>
    <row r="32">
      <c r="A32" s="152" t="s">
        <v>146</v>
      </c>
      <c r="B32" s="153" t="s">
        <v>147</v>
      </c>
      <c r="C32" s="152" t="s">
        <v>148</v>
      </c>
      <c r="D32" s="152" t="s">
        <v>149</v>
      </c>
      <c r="E32" s="153" t="s">
        <v>150</v>
      </c>
      <c r="F32" s="154" t="s">
        <v>112</v>
      </c>
      <c r="G32" s="153" t="s">
        <v>151</v>
      </c>
      <c r="H32" s="153" t="s">
        <v>152</v>
      </c>
      <c r="I32" s="153" t="s">
        <v>153</v>
      </c>
      <c r="J32" s="153" t="s">
        <v>154</v>
      </c>
    </row>
    <row r="33">
      <c r="A33" s="51">
        <v>5.500537493E9</v>
      </c>
      <c r="B33" s="155">
        <v>45797.0</v>
      </c>
      <c r="C33" s="51" t="s">
        <v>61</v>
      </c>
      <c r="D33" s="51">
        <v>100000.0</v>
      </c>
      <c r="E33" s="150">
        <v>0.0</v>
      </c>
      <c r="F33" s="150">
        <f>D33-E33</f>
        <v>100000</v>
      </c>
      <c r="G33" s="156">
        <v>3250.0</v>
      </c>
      <c r="H33" s="158">
        <f t="shared" ref="H33:H40" si="7">IF(E33="","",(SUM($G$3*E33)))</f>
        <v>0</v>
      </c>
      <c r="I33" s="158">
        <f>F33*G33</f>
        <v>325000000</v>
      </c>
      <c r="J33" s="159" t="str">
        <f>IF(OR(D33="",E33=""),"",IF(F33&lt;=0,"Closed","Open"))</f>
        <v>Open</v>
      </c>
    </row>
    <row r="34">
      <c r="A34" s="94"/>
      <c r="B34" s="160"/>
      <c r="C34" s="94"/>
      <c r="D34" s="94"/>
      <c r="E34" s="161"/>
      <c r="F34" s="161" t="str">
        <f t="shared" ref="F34:F40" si="8">IF(E34="","",(SUM(F33-E34)))</f>
        <v/>
      </c>
      <c r="G34" s="94"/>
      <c r="H34" s="166" t="str">
        <f t="shared" si="7"/>
        <v/>
      </c>
      <c r="I34" s="166" t="str">
        <f>IF(F34="","",(SUM(G33*F34)))</f>
        <v/>
      </c>
      <c r="J34" s="164" t="str">
        <f t="shared" ref="J34:J40" si="9">IF(OR(F34="",E34=""),"",IF(F34&lt;=0,"Closed","Open"))</f>
        <v/>
      </c>
    </row>
    <row r="35">
      <c r="A35" s="61"/>
      <c r="B35" s="155"/>
      <c r="C35" s="61"/>
      <c r="D35" s="61"/>
      <c r="E35" s="150"/>
      <c r="F35" s="150" t="str">
        <f t="shared" si="8"/>
        <v/>
      </c>
      <c r="G35" s="61"/>
      <c r="H35" s="168" t="str">
        <f t="shared" si="7"/>
        <v/>
      </c>
      <c r="I35" s="168" t="str">
        <f>IF(F35="","",(SUM(G33*F35)))</f>
        <v/>
      </c>
      <c r="J35" s="159" t="str">
        <f t="shared" si="9"/>
        <v/>
      </c>
    </row>
    <row r="36">
      <c r="A36" s="94"/>
      <c r="B36" s="160"/>
      <c r="C36" s="94"/>
      <c r="D36" s="94"/>
      <c r="E36" s="161"/>
      <c r="F36" s="161" t="str">
        <f t="shared" si="8"/>
        <v/>
      </c>
      <c r="G36" s="94"/>
      <c r="H36" s="166" t="str">
        <f t="shared" si="7"/>
        <v/>
      </c>
      <c r="I36" s="166" t="str">
        <f>IF(F36="","",(SUM(G33*F36)))</f>
        <v/>
      </c>
      <c r="J36" s="164" t="str">
        <f t="shared" si="9"/>
        <v/>
      </c>
    </row>
    <row r="37">
      <c r="A37" s="61"/>
      <c r="B37" s="155"/>
      <c r="C37" s="61"/>
      <c r="D37" s="61"/>
      <c r="E37" s="150"/>
      <c r="F37" s="150" t="str">
        <f t="shared" si="8"/>
        <v/>
      </c>
      <c r="G37" s="61"/>
      <c r="H37" s="168" t="str">
        <f t="shared" si="7"/>
        <v/>
      </c>
      <c r="I37" s="168" t="str">
        <f>IF(F37="","",(SUM(G33*F37)))</f>
        <v/>
      </c>
      <c r="J37" s="159" t="str">
        <f t="shared" si="9"/>
        <v/>
      </c>
    </row>
    <row r="38">
      <c r="A38" s="94"/>
      <c r="B38" s="160"/>
      <c r="C38" s="94"/>
      <c r="D38" s="94"/>
      <c r="E38" s="161"/>
      <c r="F38" s="161" t="str">
        <f t="shared" si="8"/>
        <v/>
      </c>
      <c r="G38" s="94"/>
      <c r="H38" s="166" t="str">
        <f t="shared" si="7"/>
        <v/>
      </c>
      <c r="I38" s="166" t="str">
        <f>IF(F38="","",(SUM(G33*F38)))</f>
        <v/>
      </c>
      <c r="J38" s="164" t="str">
        <f t="shared" si="9"/>
        <v/>
      </c>
    </row>
    <row r="39">
      <c r="A39" s="61"/>
      <c r="B39" s="155"/>
      <c r="C39" s="61"/>
      <c r="D39" s="61"/>
      <c r="E39" s="150"/>
      <c r="F39" s="150" t="str">
        <f t="shared" si="8"/>
        <v/>
      </c>
      <c r="G39" s="61"/>
      <c r="H39" s="168" t="str">
        <f t="shared" si="7"/>
        <v/>
      </c>
      <c r="I39" s="168" t="str">
        <f>IF(F39="","",(SUM(G33*F39)))</f>
        <v/>
      </c>
      <c r="J39" s="159" t="str">
        <f t="shared" si="9"/>
        <v/>
      </c>
    </row>
    <row r="40">
      <c r="A40" s="138"/>
      <c r="B40" s="160"/>
      <c r="C40" s="138"/>
      <c r="D40" s="138"/>
      <c r="E40" s="161"/>
      <c r="F40" s="161" t="str">
        <f t="shared" si="8"/>
        <v/>
      </c>
      <c r="G40" s="138"/>
      <c r="H40" s="166" t="str">
        <f t="shared" si="7"/>
        <v/>
      </c>
      <c r="I40" s="166" t="str">
        <f>IF(F40="","",(SUM(G33*F40)))</f>
        <v/>
      </c>
      <c r="J40" s="164" t="str">
        <f t="shared" si="9"/>
        <v/>
      </c>
    </row>
  </sheetData>
  <mergeCells count="13">
    <mergeCell ref="G3:G10"/>
    <mergeCell ref="G22:G29"/>
    <mergeCell ref="C22:C29"/>
    <mergeCell ref="C33:C40"/>
    <mergeCell ref="D33:D40"/>
    <mergeCell ref="G33:G40"/>
    <mergeCell ref="A1:J1"/>
    <mergeCell ref="A3:A10"/>
    <mergeCell ref="C3:C10"/>
    <mergeCell ref="D3:D10"/>
    <mergeCell ref="A22:A29"/>
    <mergeCell ref="D22:D29"/>
    <mergeCell ref="A33:A40"/>
  </mergeCells>
  <conditionalFormatting sqref="H3:J10 H22:J29 H33:J40">
    <cfRule type="cellIs" dxfId="6" priority="1" operator="equal">
      <formula>"Open"</formula>
    </cfRule>
  </conditionalFormatting>
  <conditionalFormatting sqref="H3:J10 H22:J29 H33:J40">
    <cfRule type="cellIs" dxfId="7" priority="2" operator="equal">
      <formula>"Closed"</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5"/>
    <col customWidth="1" min="8" max="8" width="27.25"/>
    <col customWidth="1" min="9" max="9" width="21.0"/>
  </cols>
  <sheetData>
    <row r="1">
      <c r="A1" s="39" t="s">
        <v>184</v>
      </c>
    </row>
    <row r="2">
      <c r="A2" s="152" t="s">
        <v>146</v>
      </c>
      <c r="B2" s="153" t="s">
        <v>147</v>
      </c>
      <c r="C2" s="152" t="s">
        <v>148</v>
      </c>
      <c r="D2" s="152" t="s">
        <v>149</v>
      </c>
      <c r="E2" s="153" t="s">
        <v>150</v>
      </c>
      <c r="F2" s="154" t="s">
        <v>112</v>
      </c>
      <c r="G2" s="153" t="s">
        <v>151</v>
      </c>
      <c r="H2" s="153" t="s">
        <v>152</v>
      </c>
      <c r="I2" s="153" t="s">
        <v>153</v>
      </c>
      <c r="J2" s="153" t="s">
        <v>154</v>
      </c>
    </row>
    <row r="3">
      <c r="A3" s="51">
        <v>5.500437612E9</v>
      </c>
      <c r="B3" s="155">
        <v>45731.0</v>
      </c>
      <c r="C3" s="51" t="s">
        <v>130</v>
      </c>
      <c r="D3" s="51">
        <v>33943.0</v>
      </c>
      <c r="E3" s="150">
        <v>0.0</v>
      </c>
      <c r="F3" s="150">
        <f>D3-E3</f>
        <v>33943</v>
      </c>
      <c r="G3" s="156">
        <v>4250.0</v>
      </c>
      <c r="H3" s="158">
        <f t="shared" ref="H3:H10" si="1">IF(E3="","",(SUM($G$3*E3)))</f>
        <v>0</v>
      </c>
      <c r="I3" s="158">
        <f>F3*G3</f>
        <v>144257750</v>
      </c>
      <c r="J3" s="159" t="str">
        <f>IF(OR(D3="",E3=""),"",IF(F3&lt;=0,"Closed","Open"))</f>
        <v>Open</v>
      </c>
    </row>
    <row r="4">
      <c r="A4" s="94"/>
      <c r="B4" s="160"/>
      <c r="C4" s="94"/>
      <c r="D4" s="94"/>
      <c r="E4" s="161"/>
      <c r="F4" s="161" t="str">
        <f t="shared" ref="F4:F10" si="2">IF(E4="","",(SUM(F3-E4)))</f>
        <v/>
      </c>
      <c r="G4" s="94"/>
      <c r="H4" s="166" t="str">
        <f t="shared" si="1"/>
        <v/>
      </c>
      <c r="I4" s="166" t="str">
        <f>IF(F4="","",(SUM(G3*F4)))</f>
        <v/>
      </c>
      <c r="J4" s="164" t="str">
        <f t="shared" ref="J4:J10" si="3">IF(OR(F4="",E4=""),"",IF(F4&lt;=0,"Closed","Open"))</f>
        <v/>
      </c>
    </row>
    <row r="5">
      <c r="A5" s="61"/>
      <c r="B5" s="155"/>
      <c r="C5" s="61"/>
      <c r="D5" s="61"/>
      <c r="E5" s="150"/>
      <c r="F5" s="150" t="str">
        <f t="shared" si="2"/>
        <v/>
      </c>
      <c r="G5" s="61"/>
      <c r="H5" s="168" t="str">
        <f t="shared" si="1"/>
        <v/>
      </c>
      <c r="I5" s="168" t="str">
        <f>IF(F5="","",(SUM(G3*F5)))</f>
        <v/>
      </c>
      <c r="J5" s="159" t="str">
        <f t="shared" si="3"/>
        <v/>
      </c>
    </row>
    <row r="6">
      <c r="A6" s="94"/>
      <c r="B6" s="160"/>
      <c r="C6" s="94"/>
      <c r="D6" s="94"/>
      <c r="E6" s="161"/>
      <c r="F6" s="161" t="str">
        <f t="shared" si="2"/>
        <v/>
      </c>
      <c r="G6" s="94"/>
      <c r="H6" s="166" t="str">
        <f t="shared" si="1"/>
        <v/>
      </c>
      <c r="I6" s="166" t="str">
        <f>IF(F6="","",(SUM(G3*F6)))</f>
        <v/>
      </c>
      <c r="J6" s="164" t="str">
        <f t="shared" si="3"/>
        <v/>
      </c>
    </row>
    <row r="7">
      <c r="A7" s="61"/>
      <c r="B7" s="155"/>
      <c r="C7" s="61"/>
      <c r="D7" s="61"/>
      <c r="E7" s="150"/>
      <c r="F7" s="150" t="str">
        <f t="shared" si="2"/>
        <v/>
      </c>
      <c r="G7" s="61"/>
      <c r="H7" s="168" t="str">
        <f t="shared" si="1"/>
        <v/>
      </c>
      <c r="I7" s="168" t="str">
        <f>IF(F7="","",(SUM(G3*F7)))</f>
        <v/>
      </c>
      <c r="J7" s="159" t="str">
        <f t="shared" si="3"/>
        <v/>
      </c>
    </row>
    <row r="8">
      <c r="A8" s="94"/>
      <c r="B8" s="160"/>
      <c r="C8" s="94"/>
      <c r="D8" s="94"/>
      <c r="E8" s="161"/>
      <c r="F8" s="161" t="str">
        <f t="shared" si="2"/>
        <v/>
      </c>
      <c r="G8" s="94"/>
      <c r="H8" s="166" t="str">
        <f t="shared" si="1"/>
        <v/>
      </c>
      <c r="I8" s="166" t="str">
        <f>IF(F8="","",(SUM(G3*F8)))</f>
        <v/>
      </c>
      <c r="J8" s="164" t="str">
        <f t="shared" si="3"/>
        <v/>
      </c>
    </row>
    <row r="9">
      <c r="A9" s="61"/>
      <c r="B9" s="155"/>
      <c r="C9" s="61"/>
      <c r="D9" s="61"/>
      <c r="E9" s="150"/>
      <c r="F9" s="150" t="str">
        <f t="shared" si="2"/>
        <v/>
      </c>
      <c r="G9" s="61"/>
      <c r="H9" s="168" t="str">
        <f t="shared" si="1"/>
        <v/>
      </c>
      <c r="I9" s="168" t="str">
        <f>IF(F9="","",(SUM(G3*F9)))</f>
        <v/>
      </c>
      <c r="J9" s="159" t="str">
        <f t="shared" si="3"/>
        <v/>
      </c>
    </row>
    <row r="10">
      <c r="A10" s="138"/>
      <c r="B10" s="160"/>
      <c r="C10" s="138"/>
      <c r="D10" s="138"/>
      <c r="E10" s="161"/>
      <c r="F10" s="161" t="str">
        <f t="shared" si="2"/>
        <v/>
      </c>
      <c r="G10" s="138"/>
      <c r="H10" s="166" t="str">
        <f t="shared" si="1"/>
        <v/>
      </c>
      <c r="I10" s="166" t="str">
        <f>IF(F10="","",(SUM(G3*F10)))</f>
        <v/>
      </c>
      <c r="J10" s="164" t="str">
        <f t="shared" si="3"/>
        <v/>
      </c>
    </row>
    <row r="13">
      <c r="A13" s="152" t="s">
        <v>146</v>
      </c>
      <c r="B13" s="153" t="s">
        <v>147</v>
      </c>
      <c r="C13" s="152" t="s">
        <v>148</v>
      </c>
      <c r="D13" s="152" t="s">
        <v>149</v>
      </c>
      <c r="E13" s="153" t="s">
        <v>150</v>
      </c>
      <c r="F13" s="154" t="s">
        <v>112</v>
      </c>
      <c r="G13" s="153" t="s">
        <v>151</v>
      </c>
      <c r="H13" s="153" t="s">
        <v>152</v>
      </c>
      <c r="I13" s="153" t="s">
        <v>153</v>
      </c>
      <c r="J13" s="153" t="s">
        <v>154</v>
      </c>
    </row>
    <row r="14">
      <c r="A14" s="51">
        <v>5.50053185E9</v>
      </c>
      <c r="B14" s="155">
        <v>45764.0</v>
      </c>
      <c r="C14" s="51" t="s">
        <v>61</v>
      </c>
      <c r="D14" s="51">
        <v>100000.0</v>
      </c>
      <c r="E14" s="150">
        <v>0.0</v>
      </c>
      <c r="F14" s="150">
        <f>D14-E14</f>
        <v>100000</v>
      </c>
      <c r="G14" s="156">
        <v>3350.0</v>
      </c>
      <c r="H14" s="158">
        <f t="shared" ref="H14:H21" si="4">IF(E14="","",(SUM($G$3*E14)))</f>
        <v>0</v>
      </c>
      <c r="I14" s="158">
        <f>F14*G14</f>
        <v>335000000</v>
      </c>
      <c r="J14" s="159" t="str">
        <f>IF(OR(D14="",E14=""),"",IF(F14&lt;=0,"Closed","Open"))</f>
        <v>Open</v>
      </c>
    </row>
    <row r="15">
      <c r="A15" s="94"/>
      <c r="B15" s="160"/>
      <c r="C15" s="94"/>
      <c r="D15" s="94"/>
      <c r="E15" s="161"/>
      <c r="F15" s="161" t="str">
        <f t="shared" ref="F15:F21" si="5">IF(E15="","",(SUM(F14-E15)))</f>
        <v/>
      </c>
      <c r="G15" s="94"/>
      <c r="H15" s="166" t="str">
        <f t="shared" si="4"/>
        <v/>
      </c>
      <c r="I15" s="166" t="str">
        <f>IF(F15="","",(SUM(G14*F15)))</f>
        <v/>
      </c>
      <c r="J15" s="164" t="str">
        <f t="shared" ref="J15:J21" si="6">IF(OR(F15="",E15=""),"",IF(F15&lt;=0,"Closed","Open"))</f>
        <v/>
      </c>
    </row>
    <row r="16">
      <c r="A16" s="61"/>
      <c r="B16" s="155"/>
      <c r="C16" s="61"/>
      <c r="D16" s="61"/>
      <c r="E16" s="150"/>
      <c r="F16" s="150" t="str">
        <f t="shared" si="5"/>
        <v/>
      </c>
      <c r="G16" s="61"/>
      <c r="H16" s="168" t="str">
        <f t="shared" si="4"/>
        <v/>
      </c>
      <c r="I16" s="168" t="str">
        <f>IF(F16="","",(SUM(G14*F16)))</f>
        <v/>
      </c>
      <c r="J16" s="159" t="str">
        <f t="shared" si="6"/>
        <v/>
      </c>
    </row>
    <row r="17">
      <c r="A17" s="94"/>
      <c r="B17" s="160"/>
      <c r="C17" s="94"/>
      <c r="D17" s="94"/>
      <c r="E17" s="161"/>
      <c r="F17" s="161" t="str">
        <f t="shared" si="5"/>
        <v/>
      </c>
      <c r="G17" s="94"/>
      <c r="H17" s="166" t="str">
        <f t="shared" si="4"/>
        <v/>
      </c>
      <c r="I17" s="166" t="str">
        <f>IF(F17="","",(SUM(G14*F17)))</f>
        <v/>
      </c>
      <c r="J17" s="164" t="str">
        <f t="shared" si="6"/>
        <v/>
      </c>
    </row>
    <row r="18">
      <c r="A18" s="61"/>
      <c r="B18" s="155"/>
      <c r="C18" s="61"/>
      <c r="D18" s="61"/>
      <c r="E18" s="150"/>
      <c r="F18" s="150" t="str">
        <f t="shared" si="5"/>
        <v/>
      </c>
      <c r="G18" s="61"/>
      <c r="H18" s="168" t="str">
        <f t="shared" si="4"/>
        <v/>
      </c>
      <c r="I18" s="168" t="str">
        <f>IF(F18="","",(SUM(G14*F18)))</f>
        <v/>
      </c>
      <c r="J18" s="159" t="str">
        <f t="shared" si="6"/>
        <v/>
      </c>
    </row>
    <row r="19">
      <c r="A19" s="94"/>
      <c r="B19" s="160"/>
      <c r="C19" s="94"/>
      <c r="D19" s="94"/>
      <c r="E19" s="161"/>
      <c r="F19" s="161" t="str">
        <f t="shared" si="5"/>
        <v/>
      </c>
      <c r="G19" s="94"/>
      <c r="H19" s="166" t="str">
        <f t="shared" si="4"/>
        <v/>
      </c>
      <c r="I19" s="166" t="str">
        <f>IF(F19="","",(SUM(G14*F19)))</f>
        <v/>
      </c>
      <c r="J19" s="164" t="str">
        <f t="shared" si="6"/>
        <v/>
      </c>
    </row>
    <row r="20">
      <c r="A20" s="61"/>
      <c r="B20" s="155"/>
      <c r="C20" s="61"/>
      <c r="D20" s="61"/>
      <c r="E20" s="150"/>
      <c r="F20" s="150" t="str">
        <f t="shared" si="5"/>
        <v/>
      </c>
      <c r="G20" s="61"/>
      <c r="H20" s="168" t="str">
        <f t="shared" si="4"/>
        <v/>
      </c>
      <c r="I20" s="168" t="str">
        <f>IF(F20="","",(SUM(G14*F20)))</f>
        <v/>
      </c>
      <c r="J20" s="159" t="str">
        <f t="shared" si="6"/>
        <v/>
      </c>
    </row>
    <row r="21">
      <c r="A21" s="138"/>
      <c r="B21" s="160"/>
      <c r="C21" s="138"/>
      <c r="D21" s="138"/>
      <c r="E21" s="161"/>
      <c r="F21" s="161" t="str">
        <f t="shared" si="5"/>
        <v/>
      </c>
      <c r="G21" s="138"/>
      <c r="H21" s="166" t="str">
        <f t="shared" si="4"/>
        <v/>
      </c>
      <c r="I21" s="166" t="str">
        <f>IF(F21="","",(SUM(G14*F21)))</f>
        <v/>
      </c>
      <c r="J21" s="164" t="str">
        <f t="shared" si="6"/>
        <v/>
      </c>
    </row>
  </sheetData>
  <mergeCells count="9">
    <mergeCell ref="G3:G10"/>
    <mergeCell ref="G14:G21"/>
    <mergeCell ref="A1:J1"/>
    <mergeCell ref="A3:A10"/>
    <mergeCell ref="C3:C10"/>
    <mergeCell ref="D3:D10"/>
    <mergeCell ref="A14:A21"/>
    <mergeCell ref="C14:C21"/>
    <mergeCell ref="D14:D21"/>
  </mergeCells>
  <conditionalFormatting sqref="H3:J10 H14:J21">
    <cfRule type="cellIs" dxfId="6" priority="1" operator="equal">
      <formula>"Open"</formula>
    </cfRule>
  </conditionalFormatting>
  <conditionalFormatting sqref="H3:J10 H14:J21">
    <cfRule type="cellIs" dxfId="7" priority="2" operator="equal">
      <formula>"Closed"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4" max="4" width="14.63"/>
    <col customWidth="1" min="5" max="5" width="13.63"/>
    <col customWidth="1" min="6" max="6" width="14.13"/>
    <col customWidth="1" min="8" max="8" width="30.75"/>
    <col customWidth="1" min="9" max="9" width="21.13"/>
  </cols>
  <sheetData>
    <row r="1" ht="15.75" customHeight="1">
      <c r="A1" s="39" t="s">
        <v>185</v>
      </c>
      <c r="K1" s="182"/>
      <c r="L1" s="182"/>
      <c r="M1" s="182"/>
      <c r="N1" s="182"/>
      <c r="O1" s="228" t="s">
        <v>186</v>
      </c>
      <c r="P1" s="228" t="s">
        <v>187</v>
      </c>
      <c r="Q1" s="228" t="s">
        <v>188</v>
      </c>
      <c r="R1" s="229" t="s">
        <v>189</v>
      </c>
      <c r="S1" s="229" t="s">
        <v>190</v>
      </c>
      <c r="T1" s="228" t="s">
        <v>191</v>
      </c>
      <c r="U1" s="182"/>
      <c r="V1" s="182"/>
      <c r="W1" s="182"/>
      <c r="X1" s="182"/>
      <c r="Y1" s="182"/>
      <c r="Z1" s="182"/>
      <c r="AA1" s="183"/>
    </row>
    <row r="2">
      <c r="A2" s="152" t="s">
        <v>146</v>
      </c>
      <c r="B2" s="153" t="s">
        <v>147</v>
      </c>
      <c r="C2" s="152" t="s">
        <v>148</v>
      </c>
      <c r="D2" s="152" t="s">
        <v>149</v>
      </c>
      <c r="E2" s="153" t="s">
        <v>150</v>
      </c>
      <c r="F2" s="154" t="s">
        <v>112</v>
      </c>
      <c r="G2" s="153" t="s">
        <v>151</v>
      </c>
      <c r="H2" s="153" t="s">
        <v>173</v>
      </c>
      <c r="I2" s="153" t="s">
        <v>153</v>
      </c>
      <c r="J2" s="153" t="s">
        <v>154</v>
      </c>
      <c r="K2" s="178"/>
      <c r="L2" s="178"/>
      <c r="M2" s="178"/>
      <c r="N2" s="178"/>
      <c r="O2" s="230" t="s">
        <v>192</v>
      </c>
      <c r="P2" s="230">
        <v>75000.0</v>
      </c>
      <c r="Q2" s="230">
        <v>3000.0</v>
      </c>
      <c r="R2" s="229">
        <v>3300.0</v>
      </c>
      <c r="S2" s="231">
        <f t="shared" ref="S2:S3" si="1">(R2-Q2)/(R2*100%)</f>
        <v>0.09090909091</v>
      </c>
      <c r="T2" s="232">
        <f t="shared" ref="T2:T3" si="2">P2*Q2</f>
        <v>225000000</v>
      </c>
      <c r="U2" s="178"/>
      <c r="V2" s="178"/>
      <c r="W2" s="178"/>
      <c r="X2" s="178"/>
      <c r="Y2" s="178"/>
      <c r="Z2" s="178"/>
      <c r="AA2" s="188"/>
    </row>
    <row r="3">
      <c r="A3" s="51">
        <v>5.500498532E9</v>
      </c>
      <c r="B3" s="155">
        <v>45731.0</v>
      </c>
      <c r="C3" s="51" t="s">
        <v>133</v>
      </c>
      <c r="D3" s="51">
        <v>47904.0</v>
      </c>
      <c r="E3" s="150">
        <v>0.0</v>
      </c>
      <c r="F3" s="150">
        <f>D3-E3</f>
        <v>47904</v>
      </c>
      <c r="G3" s="156">
        <v>8200.0</v>
      </c>
      <c r="H3" s="158">
        <f t="shared" ref="H3:H18" si="3">IF(E3="","",(SUM($G$3*E3)))</f>
        <v>0</v>
      </c>
      <c r="I3" s="158">
        <f>F3*G3</f>
        <v>392812800</v>
      </c>
      <c r="J3" s="159" t="str">
        <f>IF(OR(D3="",E3=""),"",IF(F3&lt;=0,"Closed","Open"))</f>
        <v>Open</v>
      </c>
      <c r="K3" s="178"/>
      <c r="L3" s="178"/>
      <c r="M3" s="178"/>
      <c r="N3" s="178"/>
      <c r="O3" s="230" t="s">
        <v>193</v>
      </c>
      <c r="P3" s="230">
        <v>25000.0</v>
      </c>
      <c r="Q3" s="230">
        <v>3100.0</v>
      </c>
      <c r="R3" s="229">
        <v>3300.0</v>
      </c>
      <c r="S3" s="231">
        <f t="shared" si="1"/>
        <v>0.06060606061</v>
      </c>
      <c r="T3" s="232">
        <f t="shared" si="2"/>
        <v>77500000</v>
      </c>
      <c r="U3" s="178"/>
      <c r="V3" s="178"/>
      <c r="W3" s="178"/>
      <c r="X3" s="178"/>
      <c r="Y3" s="178"/>
      <c r="Z3" s="178"/>
      <c r="AA3" s="188"/>
    </row>
    <row r="4">
      <c r="A4" s="94"/>
      <c r="B4" s="160"/>
      <c r="C4" s="94"/>
      <c r="D4" s="94"/>
      <c r="E4" s="161"/>
      <c r="F4" s="161" t="str">
        <f t="shared" ref="F4:F10" si="4">IF(E4="","",(SUM(F3-E4)))</f>
        <v/>
      </c>
      <c r="G4" s="94"/>
      <c r="H4" s="166" t="str">
        <f t="shared" si="3"/>
        <v/>
      </c>
      <c r="I4" s="166" t="str">
        <f>IF(F4="","",(SUM(G3*F4)))</f>
        <v/>
      </c>
      <c r="J4" s="164" t="str">
        <f t="shared" ref="J4:J10" si="5">IF(OR(F4="",E4=""),"",IF(F4&lt;=0,"Closed","Open"))</f>
        <v/>
      </c>
      <c r="K4" s="178"/>
      <c r="L4" s="178"/>
      <c r="M4" s="178"/>
      <c r="N4" s="178"/>
      <c r="O4" s="233" t="s">
        <v>191</v>
      </c>
      <c r="P4" s="234"/>
      <c r="Q4" s="234"/>
      <c r="R4" s="235"/>
      <c r="S4" s="231"/>
      <c r="T4" s="232">
        <f>T2+T3</f>
        <v>302500000</v>
      </c>
      <c r="U4" s="178"/>
      <c r="V4" s="178"/>
      <c r="W4" s="178"/>
      <c r="X4" s="178"/>
      <c r="Y4" s="178"/>
      <c r="Z4" s="178"/>
      <c r="AA4" s="188"/>
    </row>
    <row r="5">
      <c r="A5" s="61"/>
      <c r="B5" s="155"/>
      <c r="C5" s="61"/>
      <c r="D5" s="61"/>
      <c r="E5" s="150"/>
      <c r="F5" s="150" t="str">
        <f t="shared" si="4"/>
        <v/>
      </c>
      <c r="G5" s="61"/>
      <c r="H5" s="168" t="str">
        <f t="shared" si="3"/>
        <v/>
      </c>
      <c r="I5" s="168" t="str">
        <f>IF(F5="","",(SUM(G3*F5)))</f>
        <v/>
      </c>
      <c r="J5" s="159" t="str">
        <f t="shared" si="5"/>
        <v/>
      </c>
      <c r="K5" s="178"/>
      <c r="L5" s="178"/>
      <c r="M5" s="178"/>
      <c r="N5" s="178"/>
      <c r="O5" s="222" t="s">
        <v>194</v>
      </c>
      <c r="P5" s="178" t="s">
        <v>195</v>
      </c>
      <c r="Q5" s="178"/>
      <c r="T5" s="178"/>
      <c r="U5" s="178"/>
      <c r="V5" s="178"/>
      <c r="W5" s="178"/>
      <c r="X5" s="178"/>
      <c r="Y5" s="178"/>
      <c r="Z5" s="178"/>
      <c r="AA5" s="188"/>
    </row>
    <row r="6">
      <c r="A6" s="94"/>
      <c r="B6" s="160"/>
      <c r="C6" s="94"/>
      <c r="D6" s="94"/>
      <c r="E6" s="161"/>
      <c r="F6" s="161" t="str">
        <f t="shared" si="4"/>
        <v/>
      </c>
      <c r="G6" s="94"/>
      <c r="H6" s="166" t="str">
        <f t="shared" si="3"/>
        <v/>
      </c>
      <c r="I6" s="166" t="str">
        <f>IF(F6="","",(SUM(G3*F6)))</f>
        <v/>
      </c>
      <c r="J6" s="164" t="str">
        <f t="shared" si="5"/>
        <v/>
      </c>
      <c r="K6" s="178"/>
      <c r="L6" s="178"/>
      <c r="M6" s="178"/>
      <c r="N6" s="178"/>
      <c r="O6" s="236">
        <v>3.3E8</v>
      </c>
      <c r="P6" s="237">
        <f>(O6-T4)/(O6*100%)</f>
        <v>0.08333333333</v>
      </c>
      <c r="Q6" s="178"/>
      <c r="T6" s="178"/>
      <c r="U6" s="178"/>
      <c r="V6" s="178"/>
      <c r="W6" s="178"/>
      <c r="X6" s="178"/>
      <c r="Y6" s="178"/>
      <c r="Z6" s="178"/>
      <c r="AA6" s="188"/>
    </row>
    <row r="7">
      <c r="A7" s="61"/>
      <c r="B7" s="155"/>
      <c r="C7" s="61"/>
      <c r="D7" s="61"/>
      <c r="E7" s="150"/>
      <c r="F7" s="150" t="str">
        <f t="shared" si="4"/>
        <v/>
      </c>
      <c r="G7" s="61"/>
      <c r="H7" s="168" t="str">
        <f t="shared" si="3"/>
        <v/>
      </c>
      <c r="I7" s="168" t="str">
        <f>IF(F7="","",(SUM(G3*F7)))</f>
        <v/>
      </c>
      <c r="J7" s="159" t="str">
        <f t="shared" si="5"/>
        <v/>
      </c>
      <c r="K7" s="178"/>
      <c r="L7" s="178"/>
      <c r="M7" s="178"/>
      <c r="N7" s="178"/>
      <c r="O7" s="222"/>
      <c r="P7" s="238">
        <f>O6*P6</f>
        <v>27500000</v>
      </c>
      <c r="Q7" s="178"/>
      <c r="T7" s="178"/>
      <c r="U7" s="178"/>
      <c r="V7" s="178"/>
      <c r="W7" s="178"/>
      <c r="X7" s="178"/>
      <c r="Y7" s="178"/>
      <c r="Z7" s="178"/>
      <c r="AA7" s="188"/>
    </row>
    <row r="8">
      <c r="A8" s="94"/>
      <c r="B8" s="160"/>
      <c r="C8" s="94"/>
      <c r="D8" s="94"/>
      <c r="E8" s="161"/>
      <c r="F8" s="161" t="str">
        <f t="shared" si="4"/>
        <v/>
      </c>
      <c r="G8" s="94"/>
      <c r="H8" s="166" t="str">
        <f t="shared" si="3"/>
        <v/>
      </c>
      <c r="I8" s="166" t="str">
        <f>IF(F8="","",(SUM(G3*F8)))</f>
        <v/>
      </c>
      <c r="J8" s="164" t="str">
        <f t="shared" si="5"/>
        <v/>
      </c>
      <c r="K8" s="178"/>
      <c r="L8" s="178"/>
      <c r="M8" s="178"/>
      <c r="N8" s="178"/>
      <c r="O8" s="222"/>
      <c r="P8" s="178"/>
      <c r="Q8" s="178"/>
      <c r="R8" s="178"/>
      <c r="S8" s="178"/>
      <c r="T8" s="178"/>
      <c r="U8" s="178"/>
      <c r="V8" s="178"/>
      <c r="W8" s="178"/>
      <c r="X8" s="178"/>
      <c r="Y8" s="178"/>
      <c r="Z8" s="178"/>
      <c r="AA8" s="188"/>
    </row>
    <row r="9">
      <c r="A9" s="61"/>
      <c r="B9" s="155"/>
      <c r="C9" s="61"/>
      <c r="D9" s="61"/>
      <c r="E9" s="150"/>
      <c r="F9" s="150" t="str">
        <f t="shared" si="4"/>
        <v/>
      </c>
      <c r="G9" s="61"/>
      <c r="H9" s="168" t="str">
        <f t="shared" si="3"/>
        <v/>
      </c>
      <c r="I9" s="168" t="str">
        <f>IF(F9="","",(SUM(G3*F9)))</f>
        <v/>
      </c>
      <c r="J9" s="159" t="str">
        <f t="shared" si="5"/>
        <v/>
      </c>
      <c r="K9" s="178"/>
      <c r="L9" s="178"/>
      <c r="M9" s="178"/>
      <c r="N9" s="178"/>
      <c r="O9" s="228" t="s">
        <v>186</v>
      </c>
      <c r="P9" s="228" t="s">
        <v>187</v>
      </c>
      <c r="Q9" s="228" t="s">
        <v>188</v>
      </c>
      <c r="R9" s="229" t="s">
        <v>189</v>
      </c>
      <c r="S9" s="229" t="s">
        <v>190</v>
      </c>
      <c r="T9" s="228" t="s">
        <v>191</v>
      </c>
      <c r="U9" s="178"/>
      <c r="V9" s="178"/>
      <c r="W9" s="178"/>
      <c r="X9" s="178"/>
      <c r="Y9" s="178"/>
      <c r="Z9" s="178"/>
      <c r="AA9" s="188"/>
    </row>
    <row r="10">
      <c r="A10" s="138"/>
      <c r="B10" s="160"/>
      <c r="C10" s="138"/>
      <c r="D10" s="138"/>
      <c r="E10" s="161"/>
      <c r="F10" s="161" t="str">
        <f t="shared" si="4"/>
        <v/>
      </c>
      <c r="G10" s="138"/>
      <c r="H10" s="166" t="str">
        <f t="shared" si="3"/>
        <v/>
      </c>
      <c r="I10" s="166" t="str">
        <f>IF(F10="","",(SUM(G3*F10)))</f>
        <v/>
      </c>
      <c r="J10" s="164" t="str">
        <f t="shared" si="5"/>
        <v/>
      </c>
      <c r="K10" s="178"/>
      <c r="L10" s="178"/>
      <c r="M10" s="178"/>
      <c r="N10" s="178"/>
      <c r="O10" s="230" t="s">
        <v>192</v>
      </c>
      <c r="P10" s="230">
        <v>50000.0</v>
      </c>
      <c r="Q10" s="230">
        <v>3000.0</v>
      </c>
      <c r="R10" s="229">
        <v>3300.0</v>
      </c>
      <c r="S10" s="231">
        <f t="shared" ref="S10:S11" si="6">(R10-Q10)/(R10*100%)</f>
        <v>0.09090909091</v>
      </c>
      <c r="T10" s="232">
        <f t="shared" ref="T10:T11" si="7">P10*Q10</f>
        <v>150000000</v>
      </c>
      <c r="U10" s="178"/>
      <c r="V10" s="178"/>
      <c r="W10" s="178"/>
      <c r="X10" s="178"/>
      <c r="Y10" s="178"/>
      <c r="Z10" s="178"/>
      <c r="AA10" s="188"/>
    </row>
    <row r="11">
      <c r="A11" s="51">
        <v>5.500517846E9</v>
      </c>
      <c r="B11" s="155">
        <v>45731.0</v>
      </c>
      <c r="C11" s="51" t="s">
        <v>130</v>
      </c>
      <c r="D11" s="51">
        <v>32856.0</v>
      </c>
      <c r="E11" s="150">
        <v>0.0</v>
      </c>
      <c r="F11" s="150">
        <f>D11-E11</f>
        <v>32856</v>
      </c>
      <c r="G11" s="156">
        <v>4500.0</v>
      </c>
      <c r="H11" s="158">
        <f t="shared" si="3"/>
        <v>0</v>
      </c>
      <c r="I11" s="158">
        <f>F11*G11</f>
        <v>147852000</v>
      </c>
      <c r="J11" s="159" t="str">
        <f>IF(OR(D11="",E11=""),"",IF(F11&lt;=0,"Closed","Open"))</f>
        <v>Open</v>
      </c>
      <c r="K11" s="178"/>
      <c r="L11" s="178"/>
      <c r="M11" s="178"/>
      <c r="N11" s="178"/>
      <c r="O11" s="230" t="s">
        <v>193</v>
      </c>
      <c r="P11" s="230">
        <v>50000.0</v>
      </c>
      <c r="Q11" s="230">
        <v>3100.0</v>
      </c>
      <c r="R11" s="229">
        <v>3300.0</v>
      </c>
      <c r="S11" s="231">
        <f t="shared" si="6"/>
        <v>0.06060606061</v>
      </c>
      <c r="T11" s="232">
        <f t="shared" si="7"/>
        <v>155000000</v>
      </c>
      <c r="U11" s="178"/>
      <c r="V11" s="178"/>
      <c r="W11" s="178"/>
      <c r="X11" s="178"/>
      <c r="Y11" s="178"/>
      <c r="Z11" s="178"/>
      <c r="AA11" s="188"/>
    </row>
    <row r="12">
      <c r="A12" s="94"/>
      <c r="B12" s="160">
        <v>45734.0</v>
      </c>
      <c r="C12" s="94"/>
      <c r="D12" s="94"/>
      <c r="E12" s="161">
        <v>8561.0</v>
      </c>
      <c r="F12" s="161">
        <f t="shared" ref="F12:F18" si="8">IF(E12="","",(SUM(F11-E12)))</f>
        <v>24295</v>
      </c>
      <c r="G12" s="94"/>
      <c r="H12" s="163">
        <f t="shared" si="3"/>
        <v>70200200</v>
      </c>
      <c r="I12" s="163">
        <f>IF(F12="","",(SUM(G11*F12)))</f>
        <v>109327500</v>
      </c>
      <c r="J12" s="164" t="str">
        <f t="shared" ref="J12:J18" si="9">IF(OR(F12="",E12=""),"",IF(F12&lt;=0,"Closed","Open"))</f>
        <v>Open</v>
      </c>
      <c r="K12" s="178"/>
      <c r="L12" s="178"/>
      <c r="M12" s="178"/>
      <c r="N12" s="178"/>
      <c r="O12" s="233" t="s">
        <v>191</v>
      </c>
      <c r="P12" s="234"/>
      <c r="Q12" s="234"/>
      <c r="R12" s="235"/>
      <c r="S12" s="231"/>
      <c r="T12" s="232">
        <f>T10+T11</f>
        <v>305000000</v>
      </c>
      <c r="U12" s="178"/>
      <c r="V12" s="178"/>
      <c r="W12" s="178"/>
      <c r="X12" s="178"/>
      <c r="Y12" s="178"/>
      <c r="Z12" s="178"/>
      <c r="AA12" s="188"/>
    </row>
    <row r="13">
      <c r="A13" s="61"/>
      <c r="B13" s="155">
        <v>45736.0</v>
      </c>
      <c r="C13" s="61"/>
      <c r="D13" s="61"/>
      <c r="E13" s="150">
        <v>8598.0</v>
      </c>
      <c r="F13" s="150">
        <f t="shared" si="8"/>
        <v>15697</v>
      </c>
      <c r="G13" s="61"/>
      <c r="H13" s="158">
        <f t="shared" si="3"/>
        <v>70503600</v>
      </c>
      <c r="I13" s="158">
        <f>IF(F13="","",(SUM(G11*F13)))</f>
        <v>70636500</v>
      </c>
      <c r="J13" s="159" t="str">
        <f t="shared" si="9"/>
        <v>Open</v>
      </c>
      <c r="K13" s="178"/>
      <c r="L13" s="178"/>
      <c r="M13" s="178"/>
      <c r="N13" s="178"/>
      <c r="O13" s="222" t="s">
        <v>194</v>
      </c>
      <c r="P13" s="178" t="s">
        <v>196</v>
      </c>
      <c r="Q13" s="178"/>
      <c r="R13" s="178"/>
      <c r="S13" s="178"/>
      <c r="T13" s="178"/>
      <c r="U13" s="178"/>
      <c r="V13" s="178"/>
      <c r="W13" s="178"/>
      <c r="X13" s="178"/>
      <c r="Y13" s="178"/>
      <c r="Z13" s="178"/>
      <c r="AA13" s="188"/>
    </row>
    <row r="14">
      <c r="A14" s="94"/>
      <c r="B14" s="160">
        <v>45737.0</v>
      </c>
      <c r="C14" s="94"/>
      <c r="D14" s="94"/>
      <c r="E14" s="161">
        <v>8573.0</v>
      </c>
      <c r="F14" s="161">
        <f t="shared" si="8"/>
        <v>7124</v>
      </c>
      <c r="G14" s="94"/>
      <c r="H14" s="163">
        <f t="shared" si="3"/>
        <v>70298600</v>
      </c>
      <c r="I14" s="163">
        <f>IF(F14="","",(SUM(G11*F14)))</f>
        <v>32058000</v>
      </c>
      <c r="J14" s="164" t="str">
        <f t="shared" si="9"/>
        <v>Open</v>
      </c>
      <c r="K14" s="178"/>
      <c r="L14" s="178"/>
      <c r="M14" s="178"/>
      <c r="N14" s="178"/>
      <c r="O14" s="236">
        <v>3.3E8</v>
      </c>
      <c r="P14" s="237">
        <f>(O14-T12)/(O14*100%)</f>
        <v>0.07575757576</v>
      </c>
      <c r="Q14" s="178"/>
      <c r="R14" s="178"/>
      <c r="S14" s="178"/>
      <c r="T14" s="178"/>
      <c r="U14" s="178"/>
      <c r="V14" s="178"/>
      <c r="W14" s="178"/>
      <c r="X14" s="178"/>
      <c r="Y14" s="178"/>
      <c r="Z14" s="178"/>
      <c r="AA14" s="188"/>
    </row>
    <row r="15">
      <c r="A15" s="61"/>
      <c r="B15" s="155"/>
      <c r="C15" s="61"/>
      <c r="D15" s="61"/>
      <c r="E15" s="150"/>
      <c r="F15" s="150" t="str">
        <f t="shared" si="8"/>
        <v/>
      </c>
      <c r="G15" s="61"/>
      <c r="H15" s="168" t="str">
        <f t="shared" si="3"/>
        <v/>
      </c>
      <c r="I15" s="168" t="str">
        <f>IF(F15="","",(SUM(G11*F15)))</f>
        <v/>
      </c>
      <c r="J15" s="159" t="str">
        <f t="shared" si="9"/>
        <v/>
      </c>
      <c r="K15" s="178"/>
      <c r="L15" s="178"/>
      <c r="M15" s="178"/>
      <c r="N15" s="178"/>
      <c r="O15" s="222"/>
      <c r="P15" s="238">
        <f>O14*P14</f>
        <v>25000000</v>
      </c>
      <c r="Q15" s="178"/>
      <c r="R15" s="178"/>
      <c r="S15" s="178"/>
      <c r="T15" s="178"/>
      <c r="U15" s="178"/>
      <c r="V15" s="178"/>
      <c r="W15" s="178"/>
      <c r="X15" s="178"/>
      <c r="Y15" s="178"/>
      <c r="Z15" s="178"/>
      <c r="AA15" s="188"/>
    </row>
    <row r="16">
      <c r="A16" s="94"/>
      <c r="B16" s="160"/>
      <c r="C16" s="94"/>
      <c r="D16" s="94"/>
      <c r="E16" s="161"/>
      <c r="F16" s="161" t="str">
        <f t="shared" si="8"/>
        <v/>
      </c>
      <c r="G16" s="94"/>
      <c r="H16" s="166" t="str">
        <f t="shared" si="3"/>
        <v/>
      </c>
      <c r="I16" s="166" t="str">
        <f>IF(F16="","",(SUM(G11*F16)))</f>
        <v/>
      </c>
      <c r="J16" s="164" t="str">
        <f t="shared" si="9"/>
        <v/>
      </c>
      <c r="K16" s="178"/>
      <c r="L16" s="178"/>
      <c r="M16" s="178"/>
      <c r="N16" s="178"/>
      <c r="O16" s="178"/>
      <c r="P16" s="178"/>
      <c r="Q16" s="178"/>
      <c r="R16" s="178"/>
      <c r="S16" s="178"/>
      <c r="T16" s="178"/>
      <c r="U16" s="178"/>
      <c r="V16" s="178"/>
      <c r="W16" s="178"/>
      <c r="X16" s="178"/>
      <c r="Y16" s="178"/>
      <c r="Z16" s="178"/>
      <c r="AA16" s="188"/>
    </row>
    <row r="17">
      <c r="A17" s="61"/>
      <c r="B17" s="155"/>
      <c r="C17" s="61"/>
      <c r="D17" s="61"/>
      <c r="E17" s="150"/>
      <c r="F17" s="150" t="str">
        <f t="shared" si="8"/>
        <v/>
      </c>
      <c r="G17" s="61"/>
      <c r="H17" s="168" t="str">
        <f t="shared" si="3"/>
        <v/>
      </c>
      <c r="I17" s="168" t="str">
        <f>IF(F17="","",(SUM(G11*F17)))</f>
        <v/>
      </c>
      <c r="J17" s="159" t="str">
        <f t="shared" si="9"/>
        <v/>
      </c>
      <c r="K17" s="178"/>
      <c r="L17" s="178"/>
      <c r="M17" s="178"/>
      <c r="N17" s="178"/>
      <c r="O17" s="178"/>
      <c r="P17" s="178"/>
      <c r="Q17" s="178"/>
      <c r="R17" s="178"/>
      <c r="S17" s="178"/>
      <c r="T17" s="178"/>
      <c r="U17" s="178"/>
      <c r="V17" s="178"/>
      <c r="W17" s="178"/>
      <c r="X17" s="178"/>
      <c r="Y17" s="178"/>
      <c r="Z17" s="178"/>
      <c r="AA17" s="188"/>
    </row>
    <row r="18">
      <c r="A18" s="138"/>
      <c r="B18" s="160"/>
      <c r="C18" s="138"/>
      <c r="D18" s="138"/>
      <c r="E18" s="161"/>
      <c r="F18" s="161" t="str">
        <f t="shared" si="8"/>
        <v/>
      </c>
      <c r="G18" s="138"/>
      <c r="H18" s="166" t="str">
        <f t="shared" si="3"/>
        <v/>
      </c>
      <c r="I18" s="166" t="str">
        <f>IF(F18="","",(SUM(G11*F18)))</f>
        <v/>
      </c>
      <c r="J18" s="164" t="str">
        <f t="shared" si="9"/>
        <v/>
      </c>
      <c r="K18" s="178"/>
      <c r="L18" s="178"/>
      <c r="M18" s="178"/>
      <c r="N18" s="178"/>
      <c r="O18" s="178"/>
      <c r="P18" s="178"/>
      <c r="Q18" s="178"/>
      <c r="R18" s="178"/>
      <c r="S18" s="178"/>
      <c r="T18" s="178"/>
      <c r="U18" s="178"/>
      <c r="V18" s="178"/>
      <c r="W18" s="178"/>
      <c r="X18" s="178"/>
      <c r="Y18" s="178"/>
      <c r="Z18" s="178"/>
      <c r="AA18" s="188"/>
    </row>
    <row r="19">
      <c r="A19" s="222"/>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88"/>
    </row>
    <row r="20">
      <c r="A20" s="51">
        <v>5.500532382E9</v>
      </c>
      <c r="B20" s="155">
        <v>45769.0</v>
      </c>
      <c r="C20" s="51" t="s">
        <v>130</v>
      </c>
      <c r="D20" s="51">
        <v>50000.0</v>
      </c>
      <c r="E20" s="150">
        <v>0.0</v>
      </c>
      <c r="F20" s="150">
        <f>D20-E20</f>
        <v>50000</v>
      </c>
      <c r="G20" s="156">
        <v>4500.0</v>
      </c>
      <c r="H20" s="158">
        <f t="shared" ref="H20:H27" si="10">IF(E20="","",(SUM($G$3*E20)))</f>
        <v>0</v>
      </c>
      <c r="I20" s="158">
        <f>F20*G20</f>
        <v>225000000</v>
      </c>
      <c r="J20" s="159" t="str">
        <f>IF(OR(D20="",E20=""),"",IF(F20&lt;=0,"Closed","Open"))</f>
        <v>Open</v>
      </c>
      <c r="K20" s="178"/>
      <c r="L20" s="178"/>
      <c r="M20" s="178"/>
      <c r="N20" s="178"/>
      <c r="O20" s="178"/>
      <c r="P20" s="178"/>
      <c r="Q20" s="178"/>
      <c r="R20" s="178"/>
      <c r="S20" s="178"/>
      <c r="T20" s="178"/>
      <c r="U20" s="178"/>
      <c r="V20" s="178"/>
      <c r="W20" s="178"/>
      <c r="X20" s="178"/>
      <c r="Y20" s="178"/>
      <c r="Z20" s="178"/>
      <c r="AA20" s="188"/>
    </row>
    <row r="21">
      <c r="A21" s="94"/>
      <c r="B21" s="160"/>
      <c r="C21" s="94"/>
      <c r="D21" s="94"/>
      <c r="E21" s="161"/>
      <c r="F21" s="161" t="str">
        <f t="shared" ref="F21:F27" si="11">IF(E21="","",(SUM(F20-E21)))</f>
        <v/>
      </c>
      <c r="G21" s="94"/>
      <c r="H21" s="166" t="str">
        <f t="shared" si="10"/>
        <v/>
      </c>
      <c r="I21" s="166" t="str">
        <f>IF(F21="","",(SUM(G20*F21)))</f>
        <v/>
      </c>
      <c r="J21" s="164" t="str">
        <f t="shared" ref="J21:J27" si="12">IF(OR(F21="",E21=""),"",IF(F21&lt;=0,"Closed","Open"))</f>
        <v/>
      </c>
      <c r="K21" s="178"/>
      <c r="L21" s="178"/>
      <c r="M21" s="178"/>
      <c r="N21" s="178"/>
      <c r="O21" s="178"/>
      <c r="P21" s="178"/>
      <c r="Q21" s="178"/>
      <c r="R21" s="178"/>
      <c r="S21" s="178"/>
      <c r="T21" s="178"/>
      <c r="U21" s="178"/>
      <c r="V21" s="178"/>
      <c r="W21" s="178"/>
      <c r="X21" s="178"/>
      <c r="Y21" s="178"/>
      <c r="Z21" s="178"/>
      <c r="AA21" s="188"/>
    </row>
    <row r="22">
      <c r="A22" s="61"/>
      <c r="B22" s="155"/>
      <c r="C22" s="61"/>
      <c r="D22" s="61"/>
      <c r="E22" s="150"/>
      <c r="F22" s="150" t="str">
        <f t="shared" si="11"/>
        <v/>
      </c>
      <c r="G22" s="61"/>
      <c r="H22" s="168" t="str">
        <f t="shared" si="10"/>
        <v/>
      </c>
      <c r="I22" s="168" t="str">
        <f>IF(F22="","",(SUM(G20*F22)))</f>
        <v/>
      </c>
      <c r="J22" s="159" t="str">
        <f t="shared" si="12"/>
        <v/>
      </c>
      <c r="K22" s="178"/>
      <c r="L22" s="178"/>
      <c r="M22" s="178"/>
      <c r="N22" s="178"/>
      <c r="O22" s="178"/>
      <c r="P22" s="178"/>
      <c r="Q22" s="178"/>
      <c r="R22" s="178"/>
      <c r="S22" s="178"/>
      <c r="T22" s="178"/>
      <c r="U22" s="178"/>
      <c r="V22" s="178"/>
      <c r="W22" s="178"/>
      <c r="X22" s="178"/>
      <c r="Y22" s="178"/>
      <c r="Z22" s="178"/>
      <c r="AA22" s="188"/>
    </row>
    <row r="23">
      <c r="A23" s="94"/>
      <c r="B23" s="160"/>
      <c r="C23" s="94"/>
      <c r="D23" s="94"/>
      <c r="E23" s="161"/>
      <c r="F23" s="161" t="str">
        <f t="shared" si="11"/>
        <v/>
      </c>
      <c r="G23" s="94"/>
      <c r="H23" s="166" t="str">
        <f t="shared" si="10"/>
        <v/>
      </c>
      <c r="I23" s="166" t="str">
        <f>IF(F23="","",(SUM(G20*F23)))</f>
        <v/>
      </c>
      <c r="J23" s="164" t="str">
        <f t="shared" si="12"/>
        <v/>
      </c>
      <c r="K23" s="178"/>
      <c r="L23" s="178"/>
      <c r="M23" s="178"/>
      <c r="N23" s="178"/>
      <c r="O23" s="178"/>
      <c r="P23" s="178"/>
      <c r="Q23" s="178"/>
      <c r="R23" s="178"/>
      <c r="S23" s="178"/>
      <c r="T23" s="178"/>
      <c r="U23" s="178"/>
      <c r="V23" s="178"/>
      <c r="W23" s="178"/>
      <c r="X23" s="178"/>
      <c r="Y23" s="178"/>
      <c r="Z23" s="178"/>
      <c r="AA23" s="188"/>
    </row>
    <row r="24">
      <c r="A24" s="61"/>
      <c r="B24" s="155"/>
      <c r="C24" s="61"/>
      <c r="D24" s="61"/>
      <c r="E24" s="150"/>
      <c r="F24" s="150" t="str">
        <f t="shared" si="11"/>
        <v/>
      </c>
      <c r="G24" s="61"/>
      <c r="H24" s="168" t="str">
        <f t="shared" si="10"/>
        <v/>
      </c>
      <c r="I24" s="168" t="str">
        <f>IF(F24="","",(SUM(G20*F24)))</f>
        <v/>
      </c>
      <c r="J24" s="159" t="str">
        <f t="shared" si="12"/>
        <v/>
      </c>
      <c r="K24" s="178"/>
      <c r="L24" s="178"/>
      <c r="M24" s="178"/>
      <c r="N24" s="178"/>
      <c r="O24" s="178"/>
      <c r="P24" s="178"/>
      <c r="Q24" s="178"/>
      <c r="R24" s="178"/>
      <c r="S24" s="178"/>
      <c r="T24" s="178"/>
      <c r="U24" s="178"/>
      <c r="V24" s="178"/>
      <c r="W24" s="178"/>
      <c r="X24" s="178"/>
      <c r="Y24" s="178"/>
      <c r="Z24" s="178"/>
      <c r="AA24" s="188"/>
    </row>
    <row r="25">
      <c r="A25" s="94"/>
      <c r="B25" s="160"/>
      <c r="C25" s="94"/>
      <c r="D25" s="94"/>
      <c r="E25" s="161"/>
      <c r="F25" s="161" t="str">
        <f t="shared" si="11"/>
        <v/>
      </c>
      <c r="G25" s="94"/>
      <c r="H25" s="166" t="str">
        <f t="shared" si="10"/>
        <v/>
      </c>
      <c r="I25" s="166" t="str">
        <f>IF(F25="","",(SUM(G20*F25)))</f>
        <v/>
      </c>
      <c r="J25" s="164" t="str">
        <f t="shared" si="12"/>
        <v/>
      </c>
      <c r="K25" s="178"/>
      <c r="L25" s="178"/>
      <c r="M25" s="178"/>
      <c r="N25" s="178"/>
      <c r="O25" s="178"/>
      <c r="P25" s="178"/>
      <c r="Q25" s="178"/>
      <c r="R25" s="178"/>
      <c r="S25" s="178"/>
      <c r="T25" s="178"/>
      <c r="U25" s="178"/>
      <c r="V25" s="178"/>
      <c r="W25" s="178"/>
      <c r="X25" s="178"/>
      <c r="Y25" s="178"/>
      <c r="Z25" s="178"/>
      <c r="AA25" s="188"/>
    </row>
    <row r="26">
      <c r="A26" s="61"/>
      <c r="B26" s="155"/>
      <c r="C26" s="61"/>
      <c r="D26" s="61"/>
      <c r="E26" s="150"/>
      <c r="F26" s="150" t="str">
        <f t="shared" si="11"/>
        <v/>
      </c>
      <c r="G26" s="61"/>
      <c r="H26" s="168" t="str">
        <f t="shared" si="10"/>
        <v/>
      </c>
      <c r="I26" s="168" t="str">
        <f>IF(F26="","",(SUM(G20*F26)))</f>
        <v/>
      </c>
      <c r="J26" s="159" t="str">
        <f t="shared" si="12"/>
        <v/>
      </c>
      <c r="K26" s="178"/>
      <c r="L26" s="178"/>
      <c r="M26" s="178"/>
      <c r="N26" s="178"/>
      <c r="O26" s="178"/>
      <c r="P26" s="178"/>
      <c r="Q26" s="178"/>
      <c r="R26" s="178"/>
      <c r="S26" s="178"/>
      <c r="T26" s="178"/>
      <c r="U26" s="178"/>
      <c r="V26" s="178"/>
      <c r="W26" s="178"/>
      <c r="X26" s="178"/>
      <c r="Y26" s="178"/>
      <c r="Z26" s="178"/>
      <c r="AA26" s="188"/>
    </row>
    <row r="27">
      <c r="A27" s="138"/>
      <c r="B27" s="160"/>
      <c r="C27" s="138"/>
      <c r="D27" s="138"/>
      <c r="E27" s="161"/>
      <c r="F27" s="161" t="str">
        <f t="shared" si="11"/>
        <v/>
      </c>
      <c r="G27" s="138"/>
      <c r="H27" s="166" t="str">
        <f t="shared" si="10"/>
        <v/>
      </c>
      <c r="I27" s="166" t="str">
        <f>IF(F27="","",(SUM(G20*F27)))</f>
        <v/>
      </c>
      <c r="J27" s="164" t="str">
        <f t="shared" si="12"/>
        <v/>
      </c>
      <c r="K27" s="178"/>
      <c r="L27" s="178"/>
      <c r="M27" s="178"/>
      <c r="N27" s="178"/>
      <c r="O27" s="178"/>
      <c r="P27" s="178"/>
      <c r="Q27" s="178"/>
      <c r="R27" s="178"/>
      <c r="S27" s="178"/>
      <c r="T27" s="178"/>
      <c r="U27" s="178"/>
      <c r="V27" s="178"/>
      <c r="W27" s="178"/>
      <c r="X27" s="178"/>
      <c r="Y27" s="178"/>
      <c r="Z27" s="178"/>
      <c r="AA27" s="188"/>
    </row>
    <row r="2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88"/>
    </row>
    <row r="29">
      <c r="J29" s="178"/>
      <c r="K29" s="178"/>
      <c r="L29" s="178"/>
      <c r="M29" s="178"/>
      <c r="N29" s="178"/>
      <c r="O29" s="178"/>
      <c r="P29" s="178"/>
      <c r="Q29" s="178"/>
      <c r="R29" s="178"/>
      <c r="S29" s="178"/>
      <c r="T29" s="178"/>
      <c r="U29" s="178"/>
      <c r="V29" s="178"/>
      <c r="W29" s="178"/>
      <c r="X29" s="178"/>
      <c r="Y29" s="178"/>
      <c r="Z29" s="178"/>
      <c r="AA29" s="188"/>
    </row>
    <row r="30">
      <c r="A30" s="51">
        <v>5.50052773E9</v>
      </c>
      <c r="B30" s="155">
        <v>45738.0</v>
      </c>
      <c r="C30" s="51" t="s">
        <v>130</v>
      </c>
      <c r="D30" s="51">
        <v>50000.0</v>
      </c>
      <c r="E30" s="150">
        <v>0.0</v>
      </c>
      <c r="F30" s="150">
        <f>D30-E30</f>
        <v>50000</v>
      </c>
      <c r="G30" s="156">
        <v>4500.0</v>
      </c>
      <c r="H30" s="158">
        <f t="shared" ref="H30:H37" si="13">IF(E30="","",(SUM($G$3*E30)))</f>
        <v>0</v>
      </c>
      <c r="I30" s="158">
        <f>F30*G30</f>
        <v>225000000</v>
      </c>
      <c r="J30" s="159" t="str">
        <f>IF(OR(D30="",E30=""),"",IF(F30&lt;=0,"Closed","Open"))</f>
        <v>Open</v>
      </c>
      <c r="K30" s="178"/>
      <c r="L30" s="178"/>
      <c r="M30" s="178"/>
      <c r="N30" s="178"/>
      <c r="O30" s="178"/>
      <c r="P30" s="178"/>
      <c r="Q30" s="178"/>
      <c r="R30" s="178"/>
      <c r="S30" s="178"/>
      <c r="T30" s="178"/>
      <c r="U30" s="178"/>
      <c r="V30" s="178"/>
      <c r="W30" s="178"/>
      <c r="X30" s="178"/>
      <c r="Y30" s="178"/>
      <c r="Z30" s="178"/>
      <c r="AA30" s="188"/>
    </row>
    <row r="31">
      <c r="A31" s="94"/>
      <c r="B31" s="160"/>
      <c r="C31" s="94"/>
      <c r="D31" s="94"/>
      <c r="E31" s="161"/>
      <c r="F31" s="161" t="str">
        <f t="shared" ref="F31:F37" si="14">IF(E31="","",(SUM(F30-E31)))</f>
        <v/>
      </c>
      <c r="G31" s="94"/>
      <c r="H31" s="166" t="str">
        <f t="shared" si="13"/>
        <v/>
      </c>
      <c r="I31" s="166" t="str">
        <f>IF(F31="","",(SUM(G30*F31)))</f>
        <v/>
      </c>
      <c r="J31" s="164" t="str">
        <f t="shared" ref="J31:J37" si="15">IF(OR(F31="",E31=""),"",IF(F31&lt;=0,"Closed","Open"))</f>
        <v/>
      </c>
      <c r="K31" s="178"/>
      <c r="L31" s="178"/>
      <c r="M31" s="178"/>
      <c r="N31" s="178"/>
      <c r="O31" s="178"/>
      <c r="P31" s="178"/>
      <c r="Q31" s="178"/>
      <c r="R31" s="178"/>
      <c r="S31" s="178"/>
      <c r="T31" s="178"/>
      <c r="U31" s="178"/>
      <c r="V31" s="178"/>
      <c r="W31" s="178"/>
      <c r="X31" s="178"/>
      <c r="Y31" s="178"/>
      <c r="Z31" s="178"/>
      <c r="AA31" s="188"/>
    </row>
    <row r="32">
      <c r="A32" s="61"/>
      <c r="B32" s="155"/>
      <c r="C32" s="61"/>
      <c r="D32" s="61"/>
      <c r="E32" s="150"/>
      <c r="F32" s="150" t="str">
        <f t="shared" si="14"/>
        <v/>
      </c>
      <c r="G32" s="61"/>
      <c r="H32" s="168" t="str">
        <f t="shared" si="13"/>
        <v/>
      </c>
      <c r="I32" s="168" t="str">
        <f>IF(F32="","",(SUM(G30*F32)))</f>
        <v/>
      </c>
      <c r="J32" s="159" t="str">
        <f t="shared" si="15"/>
        <v/>
      </c>
      <c r="K32" s="178"/>
      <c r="L32" s="178"/>
      <c r="M32" s="178"/>
      <c r="N32" s="178"/>
      <c r="O32" s="178"/>
      <c r="P32" s="178"/>
      <c r="Q32" s="178"/>
      <c r="R32" s="178"/>
      <c r="S32" s="178"/>
      <c r="T32" s="178"/>
      <c r="U32" s="178"/>
      <c r="V32" s="178"/>
      <c r="W32" s="178"/>
      <c r="X32" s="178"/>
      <c r="Y32" s="178"/>
      <c r="Z32" s="178"/>
      <c r="AA32" s="188"/>
    </row>
    <row r="33">
      <c r="A33" s="94"/>
      <c r="B33" s="160"/>
      <c r="C33" s="94"/>
      <c r="D33" s="94"/>
      <c r="E33" s="161"/>
      <c r="F33" s="161" t="str">
        <f t="shared" si="14"/>
        <v/>
      </c>
      <c r="G33" s="94"/>
      <c r="H33" s="166" t="str">
        <f t="shared" si="13"/>
        <v/>
      </c>
      <c r="I33" s="166" t="str">
        <f>IF(F33="","",(SUM(G30*F33)))</f>
        <v/>
      </c>
      <c r="J33" s="164" t="str">
        <f t="shared" si="15"/>
        <v/>
      </c>
      <c r="K33" s="178"/>
      <c r="L33" s="178"/>
      <c r="M33" s="178"/>
      <c r="N33" s="178"/>
      <c r="O33" s="178"/>
      <c r="P33" s="178"/>
      <c r="Q33" s="178"/>
      <c r="R33" s="178"/>
      <c r="S33" s="178"/>
      <c r="T33" s="178"/>
      <c r="U33" s="178"/>
      <c r="V33" s="178"/>
      <c r="W33" s="178"/>
      <c r="X33" s="178"/>
      <c r="Y33" s="178"/>
      <c r="Z33" s="178"/>
      <c r="AA33" s="188"/>
    </row>
    <row r="34">
      <c r="A34" s="61"/>
      <c r="B34" s="155"/>
      <c r="C34" s="61"/>
      <c r="D34" s="61"/>
      <c r="E34" s="150"/>
      <c r="F34" s="150" t="str">
        <f t="shared" si="14"/>
        <v/>
      </c>
      <c r="G34" s="61"/>
      <c r="H34" s="168" t="str">
        <f t="shared" si="13"/>
        <v/>
      </c>
      <c r="I34" s="168" t="str">
        <f>IF(F34="","",(SUM(G30*F34)))</f>
        <v/>
      </c>
      <c r="J34" s="159" t="str">
        <f t="shared" si="15"/>
        <v/>
      </c>
      <c r="K34" s="178"/>
      <c r="L34" s="178"/>
      <c r="M34" s="178"/>
      <c r="N34" s="178"/>
      <c r="O34" s="178"/>
      <c r="P34" s="178"/>
      <c r="Q34" s="178"/>
      <c r="R34" s="178"/>
      <c r="S34" s="178"/>
      <c r="T34" s="178"/>
      <c r="U34" s="178"/>
      <c r="V34" s="178"/>
      <c r="W34" s="178"/>
      <c r="X34" s="178"/>
      <c r="Y34" s="178"/>
      <c r="Z34" s="178"/>
      <c r="AA34" s="188"/>
    </row>
    <row r="35">
      <c r="A35" s="94"/>
      <c r="B35" s="160"/>
      <c r="C35" s="94"/>
      <c r="D35" s="94"/>
      <c r="E35" s="161"/>
      <c r="F35" s="161" t="str">
        <f t="shared" si="14"/>
        <v/>
      </c>
      <c r="G35" s="94"/>
      <c r="H35" s="166" t="str">
        <f t="shared" si="13"/>
        <v/>
      </c>
      <c r="I35" s="166" t="str">
        <f>IF(F35="","",(SUM(G30*F35)))</f>
        <v/>
      </c>
      <c r="J35" s="164" t="str">
        <f t="shared" si="15"/>
        <v/>
      </c>
      <c r="K35" s="178"/>
      <c r="L35" s="178"/>
      <c r="M35" s="178"/>
      <c r="N35" s="178"/>
      <c r="O35" s="178"/>
      <c r="P35" s="178"/>
      <c r="Q35" s="178"/>
      <c r="R35" s="178"/>
      <c r="S35" s="178"/>
      <c r="T35" s="178"/>
      <c r="U35" s="178"/>
      <c r="V35" s="178"/>
      <c r="W35" s="178"/>
      <c r="X35" s="178"/>
      <c r="Y35" s="178"/>
      <c r="Z35" s="178"/>
      <c r="AA35" s="188"/>
    </row>
    <row r="36">
      <c r="A36" s="61"/>
      <c r="B36" s="155"/>
      <c r="C36" s="61"/>
      <c r="D36" s="61"/>
      <c r="E36" s="150"/>
      <c r="F36" s="150" t="str">
        <f t="shared" si="14"/>
        <v/>
      </c>
      <c r="G36" s="61"/>
      <c r="H36" s="168" t="str">
        <f t="shared" si="13"/>
        <v/>
      </c>
      <c r="I36" s="168" t="str">
        <f>IF(F36="","",(SUM(G30*F36)))</f>
        <v/>
      </c>
      <c r="J36" s="159" t="str">
        <f t="shared" si="15"/>
        <v/>
      </c>
      <c r="K36" s="178"/>
      <c r="L36" s="178"/>
      <c r="M36" s="178"/>
      <c r="N36" s="178"/>
      <c r="O36" s="178"/>
      <c r="P36" s="178"/>
      <c r="Q36" s="178"/>
      <c r="R36" s="178"/>
      <c r="S36" s="178"/>
      <c r="T36" s="178"/>
      <c r="U36" s="178"/>
      <c r="V36" s="178"/>
      <c r="W36" s="178"/>
      <c r="X36" s="178"/>
      <c r="Y36" s="178"/>
      <c r="Z36" s="178"/>
      <c r="AA36" s="188"/>
    </row>
    <row r="37">
      <c r="A37" s="138"/>
      <c r="B37" s="160"/>
      <c r="C37" s="138"/>
      <c r="D37" s="138"/>
      <c r="E37" s="161"/>
      <c r="F37" s="161" t="str">
        <f t="shared" si="14"/>
        <v/>
      </c>
      <c r="G37" s="138"/>
      <c r="H37" s="166" t="str">
        <f t="shared" si="13"/>
        <v/>
      </c>
      <c r="I37" s="166" t="str">
        <f>IF(F37="","",(SUM(G30*F37)))</f>
        <v/>
      </c>
      <c r="J37" s="164" t="str">
        <f t="shared" si="15"/>
        <v/>
      </c>
      <c r="K37" s="178"/>
      <c r="L37" s="178"/>
      <c r="M37" s="178"/>
      <c r="N37" s="178"/>
      <c r="O37" s="178"/>
      <c r="P37" s="178"/>
      <c r="Q37" s="178"/>
      <c r="R37" s="178"/>
      <c r="S37" s="178"/>
      <c r="T37" s="178"/>
      <c r="U37" s="178"/>
      <c r="V37" s="178"/>
      <c r="W37" s="178"/>
      <c r="X37" s="178"/>
      <c r="Y37" s="178"/>
      <c r="Z37" s="178"/>
      <c r="AA37" s="188"/>
    </row>
    <row r="38">
      <c r="G38" s="178"/>
      <c r="H38" s="178"/>
      <c r="I38" s="178"/>
      <c r="J38" s="178"/>
      <c r="K38" s="178"/>
      <c r="L38" s="178"/>
      <c r="M38" s="178"/>
      <c r="N38" s="178"/>
      <c r="O38" s="178"/>
      <c r="P38" s="178"/>
      <c r="Q38" s="178"/>
      <c r="R38" s="178"/>
      <c r="S38" s="178"/>
      <c r="T38" s="178"/>
      <c r="U38" s="178"/>
      <c r="V38" s="178"/>
      <c r="W38" s="178"/>
      <c r="X38" s="178"/>
      <c r="Y38" s="178"/>
      <c r="Z38" s="178"/>
      <c r="AA38" s="188"/>
    </row>
    <row r="39">
      <c r="G39" s="178"/>
      <c r="H39" s="178"/>
      <c r="I39" s="178"/>
      <c r="J39" s="178"/>
      <c r="K39" s="178"/>
      <c r="L39" s="178"/>
      <c r="M39" s="178"/>
      <c r="N39" s="178"/>
      <c r="O39" s="178"/>
      <c r="P39" s="178"/>
      <c r="Q39" s="178"/>
      <c r="R39" s="178"/>
      <c r="S39" s="178"/>
      <c r="T39" s="178"/>
      <c r="U39" s="178"/>
      <c r="V39" s="178"/>
      <c r="W39" s="178"/>
      <c r="X39" s="178"/>
      <c r="Y39" s="178"/>
      <c r="Z39" s="178"/>
      <c r="AA39" s="188"/>
    </row>
    <row r="40">
      <c r="A40" s="152" t="s">
        <v>146</v>
      </c>
      <c r="B40" s="153" t="s">
        <v>147</v>
      </c>
      <c r="C40" s="152" t="s">
        <v>148</v>
      </c>
      <c r="D40" s="152" t="s">
        <v>149</v>
      </c>
      <c r="E40" s="153" t="s">
        <v>150</v>
      </c>
      <c r="F40" s="154" t="s">
        <v>112</v>
      </c>
      <c r="G40" s="153" t="s">
        <v>151</v>
      </c>
      <c r="H40" s="153" t="s">
        <v>152</v>
      </c>
      <c r="I40" s="153" t="s">
        <v>153</v>
      </c>
      <c r="J40" s="153" t="s">
        <v>154</v>
      </c>
      <c r="K40" s="178"/>
      <c r="L40" s="178"/>
      <c r="M40" s="178"/>
      <c r="N40" s="178"/>
      <c r="O40" s="178"/>
      <c r="P40" s="178"/>
      <c r="Q40" s="178"/>
      <c r="R40" s="178"/>
      <c r="S40" s="178"/>
      <c r="T40" s="178"/>
      <c r="U40" s="178"/>
      <c r="V40" s="178"/>
      <c r="W40" s="178"/>
      <c r="X40" s="178"/>
      <c r="Y40" s="178"/>
      <c r="Z40" s="178"/>
      <c r="AA40" s="188"/>
    </row>
    <row r="41">
      <c r="A41" s="51">
        <v>5.500531849E9</v>
      </c>
      <c r="B41" s="155">
        <v>45764.0</v>
      </c>
      <c r="C41" s="51" t="s">
        <v>61</v>
      </c>
      <c r="D41" s="51">
        <v>100000.0</v>
      </c>
      <c r="E41" s="150">
        <v>0.0</v>
      </c>
      <c r="F41" s="150">
        <f>D41-E41</f>
        <v>100000</v>
      </c>
      <c r="G41" s="156">
        <v>3300.0</v>
      </c>
      <c r="H41" s="158">
        <f t="shared" ref="H41:H48" si="16">IF(E41="","",(SUM($G$3*E41)))</f>
        <v>0</v>
      </c>
      <c r="I41" s="158">
        <f>F41*G41</f>
        <v>330000000</v>
      </c>
      <c r="J41" s="159" t="str">
        <f>IF(OR(D41="",E41=""),"",IF(F41&lt;=0,"Closed","Open"))</f>
        <v>Open</v>
      </c>
      <c r="K41" s="178"/>
      <c r="L41" s="178"/>
      <c r="M41" s="178"/>
      <c r="N41" s="178"/>
      <c r="O41" s="178"/>
      <c r="P41" s="178"/>
      <c r="Q41" s="178"/>
      <c r="R41" s="178"/>
      <c r="S41" s="178"/>
      <c r="T41" s="178"/>
      <c r="U41" s="178"/>
      <c r="V41" s="178"/>
      <c r="W41" s="178"/>
      <c r="X41" s="178"/>
      <c r="Y41" s="178"/>
      <c r="Z41" s="178"/>
      <c r="AA41" s="188"/>
    </row>
    <row r="42">
      <c r="A42" s="94"/>
      <c r="B42" s="160"/>
      <c r="C42" s="94"/>
      <c r="D42" s="94"/>
      <c r="E42" s="161"/>
      <c r="F42" s="161" t="str">
        <f t="shared" ref="F42:F48" si="17">IF(E42="","",(SUM(F41-E42)))</f>
        <v/>
      </c>
      <c r="G42" s="94"/>
      <c r="H42" s="166" t="str">
        <f t="shared" si="16"/>
        <v/>
      </c>
      <c r="I42" s="166" t="str">
        <f>IF(F42="","",(SUM(G41*F42)))</f>
        <v/>
      </c>
      <c r="J42" s="164" t="str">
        <f t="shared" ref="J42:J48" si="18">IF(OR(F42="",E42=""),"",IF(F42&lt;=0,"Closed","Open"))</f>
        <v/>
      </c>
      <c r="K42" s="178"/>
      <c r="L42" s="178"/>
      <c r="M42" s="178"/>
      <c r="N42" s="178"/>
      <c r="O42" s="178"/>
      <c r="P42" s="178"/>
      <c r="Q42" s="178"/>
      <c r="R42" s="178"/>
      <c r="S42" s="178"/>
      <c r="T42" s="178"/>
      <c r="U42" s="178"/>
      <c r="V42" s="178"/>
      <c r="W42" s="178"/>
      <c r="X42" s="178"/>
      <c r="Y42" s="178"/>
      <c r="Z42" s="178"/>
      <c r="AA42" s="188"/>
    </row>
    <row r="43">
      <c r="A43" s="61"/>
      <c r="B43" s="155"/>
      <c r="C43" s="61"/>
      <c r="D43" s="61"/>
      <c r="E43" s="150"/>
      <c r="F43" s="150" t="str">
        <f t="shared" si="17"/>
        <v/>
      </c>
      <c r="G43" s="61"/>
      <c r="H43" s="168" t="str">
        <f t="shared" si="16"/>
        <v/>
      </c>
      <c r="I43" s="168" t="str">
        <f>IF(F43="","",(SUM(G41*F43)))</f>
        <v/>
      </c>
      <c r="J43" s="159" t="str">
        <f t="shared" si="18"/>
        <v/>
      </c>
      <c r="K43" s="178"/>
      <c r="L43" s="178"/>
      <c r="M43" s="178"/>
      <c r="N43" s="178"/>
      <c r="O43" s="178"/>
      <c r="P43" s="178"/>
      <c r="Q43" s="178"/>
      <c r="R43" s="178"/>
      <c r="S43" s="178"/>
      <c r="T43" s="178"/>
      <c r="U43" s="178"/>
      <c r="V43" s="178"/>
      <c r="W43" s="178"/>
      <c r="X43" s="178"/>
      <c r="Y43" s="178"/>
      <c r="Z43" s="178"/>
      <c r="AA43" s="188"/>
    </row>
    <row r="44">
      <c r="A44" s="94"/>
      <c r="B44" s="160"/>
      <c r="C44" s="94"/>
      <c r="D44" s="94"/>
      <c r="E44" s="161"/>
      <c r="F44" s="161" t="str">
        <f t="shared" si="17"/>
        <v/>
      </c>
      <c r="G44" s="94"/>
      <c r="H44" s="166" t="str">
        <f t="shared" si="16"/>
        <v/>
      </c>
      <c r="I44" s="166" t="str">
        <f>IF(F44="","",(SUM(G41*F44)))</f>
        <v/>
      </c>
      <c r="J44" s="164" t="str">
        <f t="shared" si="18"/>
        <v/>
      </c>
      <c r="K44" s="178"/>
      <c r="L44" s="178"/>
      <c r="M44" s="178"/>
      <c r="N44" s="178"/>
      <c r="O44" s="178"/>
      <c r="P44" s="178"/>
      <c r="Q44" s="178"/>
      <c r="R44" s="178"/>
      <c r="S44" s="178"/>
      <c r="T44" s="178"/>
      <c r="U44" s="178"/>
      <c r="V44" s="178"/>
      <c r="W44" s="178"/>
      <c r="X44" s="178"/>
      <c r="Y44" s="178"/>
      <c r="Z44" s="178"/>
      <c r="AA44" s="188"/>
    </row>
    <row r="45">
      <c r="A45" s="61"/>
      <c r="B45" s="155"/>
      <c r="C45" s="61"/>
      <c r="D45" s="61"/>
      <c r="E45" s="150"/>
      <c r="F45" s="150" t="str">
        <f t="shared" si="17"/>
        <v/>
      </c>
      <c r="G45" s="61"/>
      <c r="H45" s="168" t="str">
        <f t="shared" si="16"/>
        <v/>
      </c>
      <c r="I45" s="168" t="str">
        <f>IF(F45="","",(SUM(G41*F45)))</f>
        <v/>
      </c>
      <c r="J45" s="159" t="str">
        <f t="shared" si="18"/>
        <v/>
      </c>
      <c r="K45" s="178"/>
      <c r="L45" s="178"/>
      <c r="M45" s="178"/>
      <c r="N45" s="178"/>
      <c r="O45" s="178"/>
      <c r="P45" s="178"/>
      <c r="Q45" s="178"/>
      <c r="R45" s="178"/>
      <c r="S45" s="178"/>
      <c r="T45" s="178"/>
      <c r="U45" s="178"/>
      <c r="V45" s="178"/>
      <c r="W45" s="178"/>
      <c r="X45" s="178"/>
      <c r="Y45" s="178"/>
      <c r="Z45" s="178"/>
      <c r="AA45" s="188"/>
    </row>
    <row r="46">
      <c r="A46" s="94"/>
      <c r="B46" s="160"/>
      <c r="C46" s="94"/>
      <c r="D46" s="94"/>
      <c r="E46" s="161"/>
      <c r="F46" s="161" t="str">
        <f t="shared" si="17"/>
        <v/>
      </c>
      <c r="G46" s="94"/>
      <c r="H46" s="166" t="str">
        <f t="shared" si="16"/>
        <v/>
      </c>
      <c r="I46" s="166" t="str">
        <f>IF(F46="","",(SUM(G41*F46)))</f>
        <v/>
      </c>
      <c r="J46" s="164" t="str">
        <f t="shared" si="18"/>
        <v/>
      </c>
      <c r="K46" s="178"/>
      <c r="L46" s="178"/>
      <c r="M46" s="178"/>
      <c r="N46" s="178"/>
      <c r="O46" s="178"/>
      <c r="P46" s="178"/>
      <c r="Q46" s="178"/>
      <c r="R46" s="178"/>
      <c r="S46" s="178"/>
      <c r="T46" s="178"/>
      <c r="U46" s="178"/>
      <c r="V46" s="178"/>
      <c r="W46" s="178"/>
      <c r="X46" s="178"/>
      <c r="Y46" s="178"/>
      <c r="Z46" s="178"/>
      <c r="AA46" s="188"/>
    </row>
    <row r="47">
      <c r="A47" s="61"/>
      <c r="B47" s="155"/>
      <c r="C47" s="61"/>
      <c r="D47" s="61"/>
      <c r="E47" s="150"/>
      <c r="F47" s="150" t="str">
        <f t="shared" si="17"/>
        <v/>
      </c>
      <c r="G47" s="61"/>
      <c r="H47" s="168" t="str">
        <f t="shared" si="16"/>
        <v/>
      </c>
      <c r="I47" s="168" t="str">
        <f>IF(F47="","",(SUM(G41*F47)))</f>
        <v/>
      </c>
      <c r="J47" s="159" t="str">
        <f t="shared" si="18"/>
        <v/>
      </c>
      <c r="K47" s="178"/>
      <c r="L47" s="178"/>
      <c r="M47" s="178"/>
      <c r="N47" s="178"/>
      <c r="O47" s="178"/>
      <c r="P47" s="178"/>
      <c r="Q47" s="178"/>
      <c r="R47" s="178"/>
      <c r="S47" s="178"/>
      <c r="T47" s="178"/>
      <c r="U47" s="178"/>
      <c r="V47" s="178"/>
      <c r="W47" s="178"/>
      <c r="X47" s="178"/>
      <c r="Y47" s="178"/>
      <c r="Z47" s="178"/>
      <c r="AA47" s="188"/>
    </row>
    <row r="48">
      <c r="A48" s="138"/>
      <c r="B48" s="160"/>
      <c r="C48" s="138"/>
      <c r="D48" s="138"/>
      <c r="E48" s="161"/>
      <c r="F48" s="161" t="str">
        <f t="shared" si="17"/>
        <v/>
      </c>
      <c r="G48" s="138"/>
      <c r="H48" s="166" t="str">
        <f t="shared" si="16"/>
        <v/>
      </c>
      <c r="I48" s="166" t="str">
        <f>IF(F48="","",(SUM(G41*F48)))</f>
        <v/>
      </c>
      <c r="J48" s="164" t="str">
        <f t="shared" si="18"/>
        <v/>
      </c>
      <c r="K48" s="178"/>
      <c r="L48" s="178"/>
      <c r="M48" s="178"/>
      <c r="N48" s="178"/>
      <c r="O48" s="178"/>
      <c r="P48" s="178"/>
      <c r="Q48" s="178"/>
      <c r="R48" s="178"/>
      <c r="S48" s="178"/>
      <c r="T48" s="178"/>
      <c r="U48" s="178"/>
      <c r="V48" s="178"/>
      <c r="W48" s="178"/>
      <c r="X48" s="178"/>
      <c r="Y48" s="178"/>
      <c r="Z48" s="178"/>
      <c r="AA48" s="188"/>
    </row>
    <row r="49">
      <c r="A49" s="222"/>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88"/>
    </row>
    <row r="50">
      <c r="A50" s="222"/>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88"/>
    </row>
    <row r="51">
      <c r="A51" s="222"/>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88"/>
    </row>
    <row r="52">
      <c r="A52" s="222"/>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88"/>
    </row>
    <row r="53">
      <c r="A53" s="222"/>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88"/>
    </row>
    <row r="54">
      <c r="A54" s="222"/>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88"/>
    </row>
    <row r="55">
      <c r="A55" s="222"/>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88"/>
    </row>
    <row r="56">
      <c r="A56" s="222"/>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88"/>
    </row>
    <row r="57">
      <c r="A57" s="222"/>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88"/>
    </row>
    <row r="58">
      <c r="A58" s="222"/>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88"/>
    </row>
    <row r="59">
      <c r="A59" s="222"/>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88"/>
    </row>
    <row r="60">
      <c r="A60" s="222"/>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88"/>
    </row>
    <row r="61">
      <c r="A61" s="222"/>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88"/>
    </row>
    <row r="62">
      <c r="A62" s="222"/>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88"/>
    </row>
    <row r="63">
      <c r="A63" s="222"/>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88"/>
    </row>
    <row r="64">
      <c r="A64" s="222"/>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88"/>
    </row>
    <row r="65">
      <c r="A65" s="222"/>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88"/>
    </row>
    <row r="66">
      <c r="A66" s="222"/>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88"/>
    </row>
    <row r="67">
      <c r="A67" s="222"/>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88"/>
    </row>
    <row r="68">
      <c r="A68" s="222"/>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88"/>
    </row>
    <row r="69">
      <c r="A69" s="222"/>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88"/>
    </row>
    <row r="70">
      <c r="A70" s="222"/>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88"/>
    </row>
    <row r="71">
      <c r="A71" s="222"/>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88"/>
    </row>
    <row r="72">
      <c r="A72" s="222"/>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88"/>
    </row>
    <row r="73">
      <c r="A73" s="222"/>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88"/>
    </row>
    <row r="74">
      <c r="A74" s="222"/>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88"/>
    </row>
    <row r="75">
      <c r="A75" s="222"/>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88"/>
    </row>
    <row r="76">
      <c r="A76" s="222"/>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88"/>
    </row>
    <row r="77">
      <c r="A77" s="222"/>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88"/>
    </row>
    <row r="78">
      <c r="A78" s="222"/>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88"/>
    </row>
    <row r="79">
      <c r="A79" s="222"/>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88"/>
    </row>
    <row r="80">
      <c r="A80" s="222"/>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88"/>
    </row>
    <row r="81">
      <c r="A81" s="222"/>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88"/>
    </row>
    <row r="82">
      <c r="A82" s="222"/>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88"/>
    </row>
    <row r="83">
      <c r="A83" s="222"/>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88"/>
    </row>
    <row r="84">
      <c r="A84" s="222"/>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88"/>
    </row>
    <row r="85">
      <c r="A85" s="222"/>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88"/>
    </row>
    <row r="86">
      <c r="A86" s="222"/>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88"/>
    </row>
    <row r="87">
      <c r="A87" s="222"/>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88"/>
    </row>
    <row r="88">
      <c r="A88" s="222"/>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88"/>
    </row>
    <row r="89">
      <c r="A89" s="222"/>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88"/>
    </row>
    <row r="90">
      <c r="A90" s="222"/>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88"/>
    </row>
    <row r="91">
      <c r="A91" s="222"/>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88"/>
    </row>
    <row r="92">
      <c r="A92" s="222"/>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88"/>
    </row>
    <row r="93">
      <c r="A93" s="222"/>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88"/>
    </row>
    <row r="94">
      <c r="A94" s="222"/>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88"/>
    </row>
    <row r="95">
      <c r="A95" s="222"/>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88"/>
    </row>
    <row r="96">
      <c r="A96" s="222"/>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88"/>
    </row>
    <row r="97">
      <c r="A97" s="222"/>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88"/>
    </row>
    <row r="98">
      <c r="A98" s="222"/>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88"/>
    </row>
    <row r="99">
      <c r="A99" s="222"/>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88"/>
    </row>
    <row r="100">
      <c r="A100" s="222"/>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88"/>
    </row>
    <row r="101">
      <c r="A101" s="222"/>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88"/>
    </row>
    <row r="102">
      <c r="A102" s="222"/>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88"/>
    </row>
    <row r="103">
      <c r="A103" s="222"/>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88"/>
    </row>
    <row r="104">
      <c r="A104" s="222"/>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88"/>
    </row>
    <row r="105">
      <c r="A105" s="222"/>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88"/>
    </row>
    <row r="106">
      <c r="A106" s="222"/>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88"/>
    </row>
    <row r="107">
      <c r="A107" s="222"/>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88"/>
    </row>
    <row r="108">
      <c r="A108" s="222"/>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88"/>
    </row>
    <row r="109">
      <c r="A109" s="222"/>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88"/>
    </row>
    <row r="110">
      <c r="A110" s="222"/>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88"/>
    </row>
    <row r="111">
      <c r="A111" s="222"/>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88"/>
    </row>
    <row r="112">
      <c r="A112" s="222"/>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88"/>
    </row>
    <row r="113">
      <c r="A113" s="222"/>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88"/>
    </row>
    <row r="114">
      <c r="A114" s="222"/>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88"/>
    </row>
    <row r="115">
      <c r="A115" s="222"/>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88"/>
    </row>
    <row r="116">
      <c r="A116" s="222"/>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88"/>
    </row>
    <row r="117">
      <c r="A117" s="222"/>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88"/>
    </row>
    <row r="118">
      <c r="A118" s="222"/>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88"/>
    </row>
    <row r="119">
      <c r="A119" s="222"/>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88"/>
    </row>
    <row r="120">
      <c r="A120" s="222"/>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88"/>
    </row>
    <row r="121">
      <c r="A121" s="222"/>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88"/>
    </row>
    <row r="122">
      <c r="A122" s="222"/>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88"/>
    </row>
    <row r="123">
      <c r="A123" s="222"/>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88"/>
    </row>
    <row r="124">
      <c r="A124" s="222"/>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88"/>
    </row>
    <row r="125">
      <c r="A125" s="222"/>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88"/>
    </row>
    <row r="126">
      <c r="A126" s="222"/>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88"/>
    </row>
    <row r="127">
      <c r="A127" s="222"/>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88"/>
    </row>
    <row r="128">
      <c r="A128" s="222"/>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88"/>
    </row>
    <row r="129">
      <c r="A129" s="222"/>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88"/>
    </row>
    <row r="130">
      <c r="A130" s="222"/>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88"/>
    </row>
    <row r="131">
      <c r="A131" s="222"/>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88"/>
    </row>
    <row r="132">
      <c r="A132" s="222"/>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88"/>
    </row>
    <row r="133">
      <c r="A133" s="222"/>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88"/>
    </row>
    <row r="134">
      <c r="A134" s="222"/>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88"/>
    </row>
    <row r="135">
      <c r="A135" s="222"/>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88"/>
    </row>
    <row r="136">
      <c r="A136" s="222"/>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88"/>
    </row>
    <row r="137">
      <c r="A137" s="222"/>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88"/>
    </row>
    <row r="138">
      <c r="A138" s="222"/>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88"/>
    </row>
    <row r="139">
      <c r="A139" s="222"/>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88"/>
    </row>
    <row r="140">
      <c r="A140" s="222"/>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88"/>
    </row>
    <row r="141">
      <c r="A141" s="222"/>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88"/>
    </row>
    <row r="142">
      <c r="A142" s="222"/>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88"/>
    </row>
    <row r="143">
      <c r="A143" s="222"/>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88"/>
    </row>
    <row r="144">
      <c r="A144" s="222"/>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88"/>
    </row>
    <row r="145">
      <c r="A145" s="222"/>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88"/>
    </row>
    <row r="146">
      <c r="A146" s="222"/>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88"/>
    </row>
    <row r="147">
      <c r="A147" s="222"/>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88"/>
    </row>
    <row r="148">
      <c r="A148" s="222"/>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88"/>
    </row>
    <row r="149">
      <c r="A149" s="222"/>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88"/>
    </row>
    <row r="150">
      <c r="A150" s="222"/>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88"/>
    </row>
    <row r="151">
      <c r="A151" s="222"/>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88"/>
    </row>
    <row r="152">
      <c r="A152" s="222"/>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88"/>
    </row>
    <row r="153">
      <c r="A153" s="222"/>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88"/>
    </row>
    <row r="154">
      <c r="A154" s="222"/>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88"/>
    </row>
    <row r="155">
      <c r="A155" s="222"/>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88"/>
    </row>
    <row r="156">
      <c r="A156" s="222"/>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88"/>
    </row>
    <row r="157">
      <c r="A157" s="222"/>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88"/>
    </row>
    <row r="158">
      <c r="A158" s="222"/>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88"/>
    </row>
    <row r="159">
      <c r="A159" s="222"/>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88"/>
    </row>
    <row r="160">
      <c r="A160" s="222"/>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88"/>
    </row>
    <row r="161">
      <c r="A161" s="222"/>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88"/>
    </row>
    <row r="162">
      <c r="A162" s="222"/>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88"/>
    </row>
    <row r="163">
      <c r="A163" s="222"/>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88"/>
    </row>
    <row r="164">
      <c r="A164" s="222"/>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88"/>
    </row>
    <row r="165">
      <c r="A165" s="222"/>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88"/>
    </row>
    <row r="166">
      <c r="A166" s="222"/>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88"/>
    </row>
    <row r="167">
      <c r="A167" s="222"/>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88"/>
    </row>
    <row r="168">
      <c r="A168" s="222"/>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88"/>
    </row>
    <row r="169">
      <c r="A169" s="222"/>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88"/>
    </row>
    <row r="170">
      <c r="A170" s="222"/>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88"/>
    </row>
    <row r="171">
      <c r="A171" s="222"/>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88"/>
    </row>
    <row r="172">
      <c r="A172" s="222"/>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88"/>
    </row>
    <row r="173">
      <c r="A173" s="222"/>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88"/>
    </row>
    <row r="174">
      <c r="A174" s="222"/>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88"/>
    </row>
    <row r="175">
      <c r="A175" s="222"/>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88"/>
    </row>
    <row r="176">
      <c r="A176" s="222"/>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88"/>
    </row>
    <row r="177">
      <c r="A177" s="222"/>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88"/>
    </row>
    <row r="178">
      <c r="A178" s="222"/>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88"/>
    </row>
    <row r="179">
      <c r="A179" s="222"/>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88"/>
    </row>
    <row r="180">
      <c r="A180" s="222"/>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88"/>
    </row>
    <row r="181">
      <c r="A181" s="222"/>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88"/>
    </row>
    <row r="182">
      <c r="A182" s="222"/>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88"/>
    </row>
    <row r="183">
      <c r="A183" s="222"/>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88"/>
    </row>
    <row r="184">
      <c r="A184" s="222"/>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88"/>
    </row>
    <row r="185">
      <c r="A185" s="222"/>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88"/>
    </row>
    <row r="186">
      <c r="A186" s="222"/>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88"/>
    </row>
    <row r="187">
      <c r="A187" s="222"/>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88"/>
    </row>
    <row r="188">
      <c r="A188" s="222"/>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88"/>
    </row>
    <row r="189">
      <c r="A189" s="222"/>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88"/>
    </row>
    <row r="190">
      <c r="A190" s="222"/>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88"/>
    </row>
    <row r="191">
      <c r="A191" s="222"/>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88"/>
    </row>
    <row r="192">
      <c r="A192" s="222"/>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88"/>
    </row>
    <row r="193">
      <c r="A193" s="222"/>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88"/>
    </row>
    <row r="194">
      <c r="A194" s="222"/>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88"/>
    </row>
    <row r="195">
      <c r="A195" s="222"/>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88"/>
    </row>
    <row r="196">
      <c r="A196" s="222"/>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88"/>
    </row>
    <row r="197">
      <c r="A197" s="222"/>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88"/>
    </row>
    <row r="198">
      <c r="A198" s="222"/>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88"/>
    </row>
    <row r="199">
      <c r="A199" s="222"/>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88"/>
    </row>
    <row r="200">
      <c r="A200" s="222"/>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88"/>
    </row>
    <row r="201">
      <c r="A201" s="222"/>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88"/>
    </row>
    <row r="202">
      <c r="A202" s="222"/>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88"/>
    </row>
    <row r="203">
      <c r="A203" s="222"/>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88"/>
    </row>
    <row r="204">
      <c r="A204" s="222"/>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88"/>
    </row>
    <row r="205">
      <c r="A205" s="222"/>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88"/>
    </row>
    <row r="206">
      <c r="A206" s="222"/>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88"/>
    </row>
    <row r="207">
      <c r="A207" s="222"/>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88"/>
    </row>
    <row r="208">
      <c r="A208" s="222"/>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88"/>
    </row>
    <row r="209">
      <c r="A209" s="222"/>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88"/>
    </row>
    <row r="210">
      <c r="A210" s="222"/>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88"/>
    </row>
    <row r="211">
      <c r="A211" s="222"/>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88"/>
    </row>
    <row r="212">
      <c r="A212" s="222"/>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88"/>
    </row>
    <row r="213">
      <c r="A213" s="222"/>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88"/>
    </row>
    <row r="214">
      <c r="A214" s="222"/>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88"/>
    </row>
    <row r="215">
      <c r="A215" s="222"/>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88"/>
    </row>
    <row r="216">
      <c r="A216" s="222"/>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88"/>
    </row>
    <row r="217">
      <c r="A217" s="222"/>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88"/>
    </row>
    <row r="218">
      <c r="A218" s="222"/>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88"/>
    </row>
    <row r="219">
      <c r="A219" s="222"/>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88"/>
    </row>
    <row r="220">
      <c r="A220" s="222"/>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88"/>
    </row>
    <row r="221">
      <c r="A221" s="222"/>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88"/>
    </row>
    <row r="222">
      <c r="A222" s="222"/>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88"/>
    </row>
    <row r="223">
      <c r="A223" s="222"/>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88"/>
    </row>
    <row r="224">
      <c r="A224" s="222"/>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88"/>
    </row>
    <row r="225">
      <c r="A225" s="222"/>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88"/>
    </row>
    <row r="226">
      <c r="A226" s="222"/>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88"/>
    </row>
    <row r="227">
      <c r="A227" s="222"/>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88"/>
    </row>
    <row r="228">
      <c r="A228" s="222"/>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88"/>
    </row>
    <row r="229">
      <c r="A229" s="222"/>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88"/>
    </row>
    <row r="230">
      <c r="A230" s="222"/>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88"/>
    </row>
    <row r="231">
      <c r="A231" s="222"/>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88"/>
    </row>
    <row r="232">
      <c r="A232" s="222"/>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88"/>
    </row>
    <row r="233">
      <c r="A233" s="222"/>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88"/>
    </row>
    <row r="234">
      <c r="A234" s="222"/>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88"/>
    </row>
    <row r="235">
      <c r="A235" s="222"/>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88"/>
    </row>
    <row r="236">
      <c r="A236" s="222"/>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88"/>
    </row>
    <row r="237">
      <c r="A237" s="222"/>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88"/>
    </row>
    <row r="238">
      <c r="A238" s="222"/>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88"/>
    </row>
    <row r="239">
      <c r="A239" s="222"/>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88"/>
    </row>
    <row r="240">
      <c r="A240" s="222"/>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88"/>
    </row>
    <row r="241">
      <c r="A241" s="222"/>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88"/>
    </row>
    <row r="242">
      <c r="A242" s="222"/>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88"/>
    </row>
    <row r="243">
      <c r="A243" s="222"/>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88"/>
    </row>
    <row r="244">
      <c r="A244" s="222"/>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88"/>
    </row>
    <row r="245">
      <c r="A245" s="222"/>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88"/>
    </row>
    <row r="246">
      <c r="A246" s="222"/>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88"/>
    </row>
    <row r="247">
      <c r="A247" s="222"/>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88"/>
    </row>
    <row r="248">
      <c r="A248" s="222"/>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88"/>
    </row>
    <row r="249">
      <c r="A249" s="222"/>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88"/>
    </row>
    <row r="250">
      <c r="A250" s="222"/>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88"/>
    </row>
    <row r="251">
      <c r="A251" s="222"/>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88"/>
    </row>
    <row r="252">
      <c r="A252" s="222"/>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88"/>
    </row>
    <row r="253">
      <c r="A253" s="222"/>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88"/>
    </row>
    <row r="254">
      <c r="A254" s="222"/>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88"/>
    </row>
    <row r="255">
      <c r="A255" s="222"/>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88"/>
    </row>
    <row r="256">
      <c r="A256" s="222"/>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88"/>
    </row>
    <row r="257">
      <c r="A257" s="222"/>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88"/>
    </row>
    <row r="258">
      <c r="A258" s="222"/>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88"/>
    </row>
    <row r="259">
      <c r="A259" s="222"/>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88"/>
    </row>
    <row r="260">
      <c r="A260" s="222"/>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88"/>
    </row>
    <row r="261">
      <c r="A261" s="222"/>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88"/>
    </row>
    <row r="262">
      <c r="A262" s="222"/>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88"/>
    </row>
    <row r="263">
      <c r="A263" s="222"/>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88"/>
    </row>
    <row r="264">
      <c r="A264" s="222"/>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88"/>
    </row>
    <row r="265">
      <c r="A265" s="222"/>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88"/>
    </row>
    <row r="266">
      <c r="A266" s="222"/>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88"/>
    </row>
    <row r="267">
      <c r="A267" s="222"/>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88"/>
    </row>
    <row r="268">
      <c r="A268" s="222"/>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88"/>
    </row>
    <row r="269">
      <c r="A269" s="222"/>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88"/>
    </row>
    <row r="270">
      <c r="A270" s="222"/>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88"/>
    </row>
    <row r="271">
      <c r="A271" s="222"/>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88"/>
    </row>
    <row r="272">
      <c r="A272" s="222"/>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88"/>
    </row>
    <row r="273">
      <c r="A273" s="222"/>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88"/>
    </row>
    <row r="274">
      <c r="A274" s="222"/>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88"/>
    </row>
    <row r="275">
      <c r="A275" s="222"/>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88"/>
    </row>
    <row r="276">
      <c r="A276" s="222"/>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88"/>
    </row>
    <row r="277">
      <c r="A277" s="222"/>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88"/>
    </row>
    <row r="278">
      <c r="A278" s="222"/>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88"/>
    </row>
    <row r="279">
      <c r="A279" s="222"/>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88"/>
    </row>
    <row r="280">
      <c r="A280" s="222"/>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88"/>
    </row>
    <row r="281">
      <c r="A281" s="222"/>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88"/>
    </row>
    <row r="282">
      <c r="A282" s="222"/>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88"/>
    </row>
    <row r="283">
      <c r="A283" s="222"/>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88"/>
    </row>
    <row r="284">
      <c r="A284" s="222"/>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88"/>
    </row>
    <row r="285">
      <c r="A285" s="222"/>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88"/>
    </row>
    <row r="286">
      <c r="A286" s="222"/>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88"/>
    </row>
    <row r="287">
      <c r="A287" s="222"/>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88"/>
    </row>
    <row r="288">
      <c r="A288" s="222"/>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88"/>
    </row>
    <row r="289">
      <c r="A289" s="222"/>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88"/>
    </row>
    <row r="290">
      <c r="A290" s="222"/>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88"/>
    </row>
    <row r="291">
      <c r="A291" s="222"/>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88"/>
    </row>
    <row r="292">
      <c r="A292" s="222"/>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88"/>
    </row>
    <row r="293">
      <c r="A293" s="222"/>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88"/>
    </row>
    <row r="294">
      <c r="A294" s="222"/>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88"/>
    </row>
    <row r="295">
      <c r="A295" s="222"/>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88"/>
    </row>
    <row r="296">
      <c r="A296" s="222"/>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88"/>
    </row>
    <row r="297">
      <c r="A297" s="222"/>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88"/>
    </row>
    <row r="298">
      <c r="A298" s="222"/>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88"/>
    </row>
    <row r="299">
      <c r="A299" s="222"/>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88"/>
    </row>
    <row r="300">
      <c r="A300" s="222"/>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88"/>
    </row>
    <row r="301">
      <c r="A301" s="222"/>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88"/>
    </row>
    <row r="302">
      <c r="A302" s="222"/>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88"/>
    </row>
    <row r="303">
      <c r="A303" s="222"/>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88"/>
    </row>
    <row r="304">
      <c r="A304" s="222"/>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88"/>
    </row>
    <row r="305">
      <c r="A305" s="222"/>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88"/>
    </row>
    <row r="306">
      <c r="A306" s="222"/>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88"/>
    </row>
    <row r="307">
      <c r="A307" s="222"/>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88"/>
    </row>
    <row r="308">
      <c r="A308" s="222"/>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88"/>
    </row>
    <row r="309">
      <c r="A309" s="222"/>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88"/>
    </row>
    <row r="310">
      <c r="A310" s="222"/>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88"/>
    </row>
    <row r="311">
      <c r="A311" s="222"/>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88"/>
    </row>
    <row r="312">
      <c r="A312" s="222"/>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88"/>
    </row>
    <row r="313">
      <c r="A313" s="222"/>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88"/>
    </row>
    <row r="314">
      <c r="A314" s="222"/>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88"/>
    </row>
    <row r="315">
      <c r="A315" s="222"/>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88"/>
    </row>
    <row r="316">
      <c r="A316" s="222"/>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88"/>
    </row>
    <row r="317">
      <c r="A317" s="222"/>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88"/>
    </row>
    <row r="318">
      <c r="A318" s="222"/>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88"/>
    </row>
    <row r="319">
      <c r="A319" s="222"/>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88"/>
    </row>
    <row r="320">
      <c r="A320" s="222"/>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88"/>
    </row>
    <row r="321">
      <c r="A321" s="222"/>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88"/>
    </row>
    <row r="322">
      <c r="A322" s="222"/>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88"/>
    </row>
    <row r="323">
      <c r="A323" s="222"/>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88"/>
    </row>
    <row r="324">
      <c r="A324" s="222"/>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88"/>
    </row>
    <row r="325">
      <c r="A325" s="222"/>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88"/>
    </row>
    <row r="326">
      <c r="A326" s="222"/>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88"/>
    </row>
    <row r="327">
      <c r="A327" s="222"/>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88"/>
    </row>
    <row r="328">
      <c r="A328" s="222"/>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88"/>
    </row>
    <row r="329">
      <c r="A329" s="222"/>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88"/>
    </row>
    <row r="330">
      <c r="A330" s="222"/>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88"/>
    </row>
    <row r="331">
      <c r="A331" s="222"/>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88"/>
    </row>
    <row r="332">
      <c r="A332" s="222"/>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88"/>
    </row>
    <row r="333">
      <c r="A333" s="222"/>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88"/>
    </row>
    <row r="334">
      <c r="A334" s="222"/>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88"/>
    </row>
    <row r="335">
      <c r="A335" s="222"/>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88"/>
    </row>
    <row r="336">
      <c r="A336" s="222"/>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88"/>
    </row>
    <row r="337">
      <c r="A337" s="222"/>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88"/>
    </row>
    <row r="338">
      <c r="A338" s="222"/>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88"/>
    </row>
    <row r="339">
      <c r="A339" s="222"/>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88"/>
    </row>
    <row r="340">
      <c r="A340" s="222"/>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88"/>
    </row>
    <row r="341">
      <c r="A341" s="222"/>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88"/>
    </row>
    <row r="342">
      <c r="A342" s="222"/>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88"/>
    </row>
    <row r="343">
      <c r="A343" s="222"/>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88"/>
    </row>
    <row r="344">
      <c r="A344" s="222"/>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88"/>
    </row>
    <row r="345">
      <c r="A345" s="222"/>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88"/>
    </row>
    <row r="346">
      <c r="A346" s="222"/>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88"/>
    </row>
    <row r="347">
      <c r="A347" s="222"/>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88"/>
    </row>
    <row r="348">
      <c r="A348" s="222"/>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88"/>
    </row>
    <row r="349">
      <c r="A349" s="222"/>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88"/>
    </row>
    <row r="350">
      <c r="A350" s="222"/>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88"/>
    </row>
    <row r="351">
      <c r="A351" s="222"/>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88"/>
    </row>
    <row r="352">
      <c r="A352" s="222"/>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88"/>
    </row>
    <row r="353">
      <c r="A353" s="222"/>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88"/>
    </row>
    <row r="354">
      <c r="A354" s="222"/>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88"/>
    </row>
    <row r="355">
      <c r="A355" s="222"/>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88"/>
    </row>
    <row r="356">
      <c r="A356" s="222"/>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88"/>
    </row>
    <row r="357">
      <c r="A357" s="222"/>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88"/>
    </row>
    <row r="358">
      <c r="A358" s="222"/>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88"/>
    </row>
    <row r="359">
      <c r="A359" s="222"/>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88"/>
    </row>
    <row r="360">
      <c r="A360" s="222"/>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88"/>
    </row>
    <row r="361">
      <c r="A361" s="222"/>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88"/>
    </row>
    <row r="362">
      <c r="A362" s="222"/>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88"/>
    </row>
    <row r="363">
      <c r="A363" s="222"/>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88"/>
    </row>
    <row r="364">
      <c r="A364" s="222"/>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88"/>
    </row>
    <row r="365">
      <c r="A365" s="222"/>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88"/>
    </row>
    <row r="366">
      <c r="A366" s="222"/>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88"/>
    </row>
    <row r="367">
      <c r="A367" s="222"/>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88"/>
    </row>
    <row r="368">
      <c r="A368" s="222"/>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88"/>
    </row>
    <row r="369">
      <c r="A369" s="222"/>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88"/>
    </row>
    <row r="370">
      <c r="A370" s="222"/>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88"/>
    </row>
    <row r="371">
      <c r="A371" s="222"/>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88"/>
    </row>
    <row r="372">
      <c r="A372" s="222"/>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88"/>
    </row>
    <row r="373">
      <c r="A373" s="222"/>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88"/>
    </row>
    <row r="374">
      <c r="A374" s="222"/>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88"/>
    </row>
    <row r="375">
      <c r="A375" s="222"/>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88"/>
    </row>
    <row r="376">
      <c r="A376" s="222"/>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88"/>
    </row>
    <row r="377">
      <c r="A377" s="222"/>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88"/>
    </row>
    <row r="378">
      <c r="A378" s="222"/>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88"/>
    </row>
    <row r="379">
      <c r="A379" s="222"/>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88"/>
    </row>
    <row r="380">
      <c r="A380" s="222"/>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88"/>
    </row>
    <row r="381">
      <c r="A381" s="222"/>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88"/>
    </row>
    <row r="382">
      <c r="A382" s="222"/>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88"/>
    </row>
    <row r="383">
      <c r="A383" s="222"/>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88"/>
    </row>
    <row r="384">
      <c r="A384" s="222"/>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88"/>
    </row>
    <row r="385">
      <c r="A385" s="222"/>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88"/>
    </row>
    <row r="386">
      <c r="A386" s="222"/>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88"/>
    </row>
    <row r="387">
      <c r="A387" s="222"/>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88"/>
    </row>
    <row r="388">
      <c r="A388" s="222"/>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88"/>
    </row>
    <row r="389">
      <c r="A389" s="222"/>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88"/>
    </row>
    <row r="390">
      <c r="A390" s="222"/>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88"/>
    </row>
    <row r="391">
      <c r="A391" s="222"/>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88"/>
    </row>
    <row r="392">
      <c r="A392" s="222"/>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88"/>
    </row>
    <row r="393">
      <c r="A393" s="222"/>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88"/>
    </row>
    <row r="394">
      <c r="A394" s="222"/>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88"/>
    </row>
    <row r="395">
      <c r="A395" s="222"/>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88"/>
    </row>
    <row r="396">
      <c r="A396" s="222"/>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88"/>
    </row>
    <row r="397">
      <c r="A397" s="222"/>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88"/>
    </row>
    <row r="398">
      <c r="A398" s="222"/>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88"/>
    </row>
    <row r="399">
      <c r="A399" s="222"/>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88"/>
    </row>
    <row r="400">
      <c r="A400" s="222"/>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88"/>
    </row>
    <row r="401">
      <c r="A401" s="222"/>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88"/>
    </row>
    <row r="402">
      <c r="A402" s="222"/>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88"/>
    </row>
    <row r="403">
      <c r="A403" s="222"/>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88"/>
    </row>
    <row r="404">
      <c r="A404" s="222"/>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88"/>
    </row>
    <row r="405">
      <c r="A405" s="222"/>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88"/>
    </row>
    <row r="406">
      <c r="A406" s="222"/>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88"/>
    </row>
    <row r="407">
      <c r="A407" s="222"/>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88"/>
    </row>
    <row r="408">
      <c r="A408" s="222"/>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88"/>
    </row>
    <row r="409">
      <c r="A409" s="222"/>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88"/>
    </row>
    <row r="410">
      <c r="A410" s="222"/>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88"/>
    </row>
    <row r="411">
      <c r="A411" s="222"/>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88"/>
    </row>
    <row r="412">
      <c r="A412" s="222"/>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88"/>
    </row>
    <row r="413">
      <c r="A413" s="222"/>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88"/>
    </row>
    <row r="414">
      <c r="A414" s="222"/>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88"/>
    </row>
    <row r="415">
      <c r="A415" s="222"/>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88"/>
    </row>
    <row r="416">
      <c r="A416" s="222"/>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88"/>
    </row>
    <row r="417">
      <c r="A417" s="222"/>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88"/>
    </row>
    <row r="418">
      <c r="A418" s="222"/>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88"/>
    </row>
    <row r="419">
      <c r="A419" s="222"/>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88"/>
    </row>
    <row r="420">
      <c r="A420" s="222"/>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88"/>
    </row>
    <row r="421">
      <c r="A421" s="222"/>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88"/>
    </row>
    <row r="422">
      <c r="A422" s="222"/>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88"/>
    </row>
    <row r="423">
      <c r="A423" s="222"/>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88"/>
    </row>
    <row r="424">
      <c r="A424" s="222"/>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88"/>
    </row>
    <row r="425">
      <c r="A425" s="222"/>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88"/>
    </row>
    <row r="426">
      <c r="A426" s="222"/>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88"/>
    </row>
    <row r="427">
      <c r="A427" s="222"/>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88"/>
    </row>
    <row r="428">
      <c r="A428" s="222"/>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88"/>
    </row>
    <row r="429">
      <c r="A429" s="222"/>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88"/>
    </row>
    <row r="430">
      <c r="A430" s="222"/>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88"/>
    </row>
    <row r="431">
      <c r="A431" s="222"/>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88"/>
    </row>
    <row r="432">
      <c r="A432" s="222"/>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88"/>
    </row>
    <row r="433">
      <c r="A433" s="222"/>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88"/>
    </row>
    <row r="434">
      <c r="A434" s="222"/>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88"/>
    </row>
    <row r="435">
      <c r="A435" s="222"/>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88"/>
    </row>
    <row r="436">
      <c r="A436" s="222"/>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88"/>
    </row>
    <row r="437">
      <c r="A437" s="222"/>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88"/>
    </row>
    <row r="438">
      <c r="A438" s="222"/>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88"/>
    </row>
    <row r="439">
      <c r="A439" s="222"/>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88"/>
    </row>
    <row r="440">
      <c r="A440" s="222"/>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88"/>
    </row>
    <row r="441">
      <c r="A441" s="222"/>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88"/>
    </row>
    <row r="442">
      <c r="A442" s="222"/>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88"/>
    </row>
    <row r="443">
      <c r="A443" s="222"/>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88"/>
    </row>
    <row r="444">
      <c r="A444" s="222"/>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88"/>
    </row>
    <row r="445">
      <c r="A445" s="222"/>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88"/>
    </row>
    <row r="446">
      <c r="A446" s="222"/>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88"/>
    </row>
    <row r="447">
      <c r="A447" s="222"/>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88"/>
    </row>
    <row r="448">
      <c r="A448" s="222"/>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88"/>
    </row>
    <row r="449">
      <c r="A449" s="222"/>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88"/>
    </row>
    <row r="450">
      <c r="A450" s="222"/>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88"/>
    </row>
    <row r="451">
      <c r="A451" s="222"/>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88"/>
    </row>
    <row r="452">
      <c r="A452" s="222"/>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88"/>
    </row>
    <row r="453">
      <c r="A453" s="222"/>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88"/>
    </row>
    <row r="454">
      <c r="A454" s="222"/>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88"/>
    </row>
    <row r="455">
      <c r="A455" s="222"/>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88"/>
    </row>
    <row r="456">
      <c r="A456" s="222"/>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88"/>
    </row>
    <row r="457">
      <c r="A457" s="222"/>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88"/>
    </row>
    <row r="458">
      <c r="A458" s="222"/>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88"/>
    </row>
    <row r="459">
      <c r="A459" s="222"/>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88"/>
    </row>
    <row r="460">
      <c r="A460" s="222"/>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88"/>
    </row>
    <row r="461">
      <c r="A461" s="222"/>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88"/>
    </row>
    <row r="462">
      <c r="A462" s="222"/>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88"/>
    </row>
    <row r="463">
      <c r="A463" s="222"/>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88"/>
    </row>
    <row r="464">
      <c r="A464" s="222"/>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88"/>
    </row>
    <row r="465">
      <c r="A465" s="222"/>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88"/>
    </row>
    <row r="466">
      <c r="A466" s="222"/>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88"/>
    </row>
    <row r="467">
      <c r="A467" s="222"/>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88"/>
    </row>
    <row r="468">
      <c r="A468" s="222"/>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88"/>
    </row>
    <row r="469">
      <c r="A469" s="222"/>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88"/>
    </row>
    <row r="470">
      <c r="A470" s="222"/>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88"/>
    </row>
    <row r="471">
      <c r="A471" s="222"/>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88"/>
    </row>
    <row r="472">
      <c r="A472" s="222"/>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88"/>
    </row>
    <row r="473">
      <c r="A473" s="222"/>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88"/>
    </row>
    <row r="474">
      <c r="A474" s="222"/>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88"/>
    </row>
    <row r="475">
      <c r="A475" s="222"/>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88"/>
    </row>
    <row r="476">
      <c r="A476" s="222"/>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88"/>
    </row>
    <row r="477">
      <c r="A477" s="222"/>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88"/>
    </row>
    <row r="478">
      <c r="A478" s="222"/>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88"/>
    </row>
    <row r="479">
      <c r="A479" s="222"/>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88"/>
    </row>
    <row r="480">
      <c r="A480" s="222"/>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88"/>
    </row>
    <row r="481">
      <c r="A481" s="222"/>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88"/>
    </row>
    <row r="482">
      <c r="A482" s="222"/>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88"/>
    </row>
    <row r="483">
      <c r="A483" s="222"/>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88"/>
    </row>
    <row r="484">
      <c r="A484" s="222"/>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88"/>
    </row>
    <row r="485">
      <c r="A485" s="222"/>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88"/>
    </row>
    <row r="486">
      <c r="A486" s="222"/>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88"/>
    </row>
    <row r="487">
      <c r="A487" s="222"/>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88"/>
    </row>
    <row r="488">
      <c r="A488" s="222"/>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88"/>
    </row>
    <row r="489">
      <c r="A489" s="222"/>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88"/>
    </row>
    <row r="490">
      <c r="A490" s="222"/>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88"/>
    </row>
    <row r="491">
      <c r="A491" s="222"/>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88"/>
    </row>
    <row r="492">
      <c r="A492" s="222"/>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88"/>
    </row>
    <row r="493">
      <c r="A493" s="222"/>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88"/>
    </row>
    <row r="494">
      <c r="A494" s="222"/>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88"/>
    </row>
    <row r="495">
      <c r="A495" s="222"/>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88"/>
    </row>
    <row r="496">
      <c r="A496" s="222"/>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88"/>
    </row>
    <row r="497">
      <c r="A497" s="222"/>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88"/>
    </row>
    <row r="498">
      <c r="A498" s="222"/>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88"/>
    </row>
    <row r="499">
      <c r="A499" s="222"/>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88"/>
    </row>
    <row r="500">
      <c r="A500" s="222"/>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88"/>
    </row>
    <row r="501">
      <c r="A501" s="222"/>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88"/>
    </row>
    <row r="502">
      <c r="A502" s="222"/>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88"/>
    </row>
    <row r="503">
      <c r="A503" s="222"/>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88"/>
    </row>
    <row r="504">
      <c r="A504" s="222"/>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88"/>
    </row>
    <row r="505">
      <c r="A505" s="222"/>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88"/>
    </row>
    <row r="506">
      <c r="A506" s="222"/>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88"/>
    </row>
    <row r="507">
      <c r="A507" s="222"/>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88"/>
    </row>
    <row r="508">
      <c r="A508" s="222"/>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88"/>
    </row>
    <row r="509">
      <c r="A509" s="222"/>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88"/>
    </row>
    <row r="510">
      <c r="A510" s="222"/>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88"/>
    </row>
    <row r="511">
      <c r="A511" s="222"/>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88"/>
    </row>
    <row r="512">
      <c r="A512" s="222"/>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88"/>
    </row>
    <row r="513">
      <c r="A513" s="222"/>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88"/>
    </row>
    <row r="514">
      <c r="A514" s="222"/>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88"/>
    </row>
    <row r="515">
      <c r="A515" s="222"/>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88"/>
    </row>
    <row r="516">
      <c r="A516" s="222"/>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88"/>
    </row>
    <row r="517">
      <c r="A517" s="222"/>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88"/>
    </row>
    <row r="518">
      <c r="A518" s="222"/>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88"/>
    </row>
    <row r="519">
      <c r="A519" s="222"/>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88"/>
    </row>
    <row r="520">
      <c r="A520" s="222"/>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88"/>
    </row>
    <row r="521">
      <c r="A521" s="222"/>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88"/>
    </row>
    <row r="522">
      <c r="A522" s="222"/>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88"/>
    </row>
    <row r="523">
      <c r="A523" s="222"/>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88"/>
    </row>
    <row r="524">
      <c r="A524" s="222"/>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88"/>
    </row>
    <row r="525">
      <c r="A525" s="222"/>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88"/>
    </row>
    <row r="526">
      <c r="A526" s="222"/>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88"/>
    </row>
    <row r="527">
      <c r="A527" s="222"/>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88"/>
    </row>
    <row r="528">
      <c r="A528" s="222"/>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88"/>
    </row>
    <row r="529">
      <c r="A529" s="222"/>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88"/>
    </row>
    <row r="530">
      <c r="A530" s="222"/>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88"/>
    </row>
    <row r="531">
      <c r="A531" s="222"/>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88"/>
    </row>
    <row r="532">
      <c r="A532" s="222"/>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88"/>
    </row>
    <row r="533">
      <c r="A533" s="222"/>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88"/>
    </row>
    <row r="534">
      <c r="A534" s="222"/>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88"/>
    </row>
    <row r="535">
      <c r="A535" s="222"/>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88"/>
    </row>
    <row r="536">
      <c r="A536" s="222"/>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88"/>
    </row>
    <row r="537">
      <c r="A537" s="222"/>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88"/>
    </row>
    <row r="538">
      <c r="A538" s="222"/>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88"/>
    </row>
    <row r="539">
      <c r="A539" s="222"/>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88"/>
    </row>
    <row r="540">
      <c r="A540" s="222"/>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88"/>
    </row>
    <row r="541">
      <c r="A541" s="222"/>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88"/>
    </row>
    <row r="542">
      <c r="A542" s="222"/>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88"/>
    </row>
    <row r="543">
      <c r="A543" s="222"/>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88"/>
    </row>
    <row r="544">
      <c r="A544" s="222"/>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88"/>
    </row>
    <row r="545">
      <c r="A545" s="222"/>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88"/>
    </row>
    <row r="546">
      <c r="A546" s="222"/>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88"/>
    </row>
    <row r="547">
      <c r="A547" s="222"/>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88"/>
    </row>
    <row r="548">
      <c r="A548" s="222"/>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88"/>
    </row>
    <row r="549">
      <c r="A549" s="222"/>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88"/>
    </row>
    <row r="550">
      <c r="A550" s="222"/>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88"/>
    </row>
    <row r="551">
      <c r="A551" s="222"/>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88"/>
    </row>
    <row r="552">
      <c r="A552" s="222"/>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88"/>
    </row>
    <row r="553">
      <c r="A553" s="222"/>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88"/>
    </row>
    <row r="554">
      <c r="A554" s="222"/>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88"/>
    </row>
    <row r="555">
      <c r="A555" s="222"/>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88"/>
    </row>
    <row r="556">
      <c r="A556" s="222"/>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88"/>
    </row>
    <row r="557">
      <c r="A557" s="222"/>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88"/>
    </row>
    <row r="558">
      <c r="A558" s="222"/>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88"/>
    </row>
    <row r="559">
      <c r="A559" s="222"/>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88"/>
    </row>
    <row r="560">
      <c r="A560" s="222"/>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88"/>
    </row>
    <row r="561">
      <c r="A561" s="222"/>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88"/>
    </row>
    <row r="562">
      <c r="A562" s="222"/>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88"/>
    </row>
    <row r="563">
      <c r="A563" s="222"/>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88"/>
    </row>
    <row r="564">
      <c r="A564" s="222"/>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88"/>
    </row>
    <row r="565">
      <c r="A565" s="222"/>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88"/>
    </row>
    <row r="566">
      <c r="A566" s="222"/>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88"/>
    </row>
    <row r="567">
      <c r="A567" s="222"/>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88"/>
    </row>
    <row r="568">
      <c r="A568" s="222"/>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88"/>
    </row>
    <row r="569">
      <c r="A569" s="222"/>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88"/>
    </row>
    <row r="570">
      <c r="A570" s="222"/>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88"/>
    </row>
    <row r="571">
      <c r="A571" s="222"/>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88"/>
    </row>
    <row r="572">
      <c r="A572" s="222"/>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88"/>
    </row>
    <row r="573">
      <c r="A573" s="222"/>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88"/>
    </row>
    <row r="574">
      <c r="A574" s="222"/>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88"/>
    </row>
    <row r="575">
      <c r="A575" s="222"/>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88"/>
    </row>
    <row r="576">
      <c r="A576" s="222"/>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88"/>
    </row>
    <row r="577">
      <c r="A577" s="222"/>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88"/>
    </row>
    <row r="578">
      <c r="A578" s="222"/>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88"/>
    </row>
    <row r="579">
      <c r="A579" s="222"/>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88"/>
    </row>
    <row r="580">
      <c r="A580" s="222"/>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88"/>
    </row>
    <row r="581">
      <c r="A581" s="222"/>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88"/>
    </row>
    <row r="582">
      <c r="A582" s="222"/>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88"/>
    </row>
    <row r="583">
      <c r="A583" s="222"/>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88"/>
    </row>
    <row r="584">
      <c r="A584" s="222"/>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88"/>
    </row>
    <row r="585">
      <c r="A585" s="222"/>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88"/>
    </row>
    <row r="586">
      <c r="A586" s="222"/>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88"/>
    </row>
    <row r="587">
      <c r="A587" s="222"/>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88"/>
    </row>
    <row r="588">
      <c r="A588" s="222"/>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88"/>
    </row>
    <row r="589">
      <c r="A589" s="222"/>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88"/>
    </row>
    <row r="590">
      <c r="A590" s="222"/>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88"/>
    </row>
    <row r="591">
      <c r="A591" s="222"/>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88"/>
    </row>
    <row r="592">
      <c r="A592" s="222"/>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88"/>
    </row>
    <row r="593">
      <c r="A593" s="222"/>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88"/>
    </row>
    <row r="594">
      <c r="A594" s="222"/>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88"/>
    </row>
    <row r="595">
      <c r="A595" s="222"/>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88"/>
    </row>
    <row r="596">
      <c r="A596" s="222"/>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88"/>
    </row>
    <row r="597">
      <c r="A597" s="222"/>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88"/>
    </row>
    <row r="598">
      <c r="A598" s="222"/>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88"/>
    </row>
    <row r="599">
      <c r="A599" s="222"/>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88"/>
    </row>
    <row r="600">
      <c r="A600" s="222"/>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88"/>
    </row>
    <row r="601">
      <c r="A601" s="222"/>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88"/>
    </row>
    <row r="602">
      <c r="A602" s="222"/>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88"/>
    </row>
    <row r="603">
      <c r="A603" s="222"/>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88"/>
    </row>
    <row r="604">
      <c r="A604" s="222"/>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88"/>
    </row>
    <row r="605">
      <c r="A605" s="222"/>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88"/>
    </row>
    <row r="606">
      <c r="A606" s="222"/>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88"/>
    </row>
    <row r="607">
      <c r="A607" s="222"/>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88"/>
    </row>
    <row r="608">
      <c r="A608" s="222"/>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88"/>
    </row>
    <row r="609">
      <c r="A609" s="222"/>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88"/>
    </row>
    <row r="610">
      <c r="A610" s="222"/>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88"/>
    </row>
    <row r="611">
      <c r="A611" s="222"/>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88"/>
    </row>
    <row r="612">
      <c r="A612" s="222"/>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88"/>
    </row>
    <row r="613">
      <c r="A613" s="222"/>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88"/>
    </row>
    <row r="614">
      <c r="A614" s="222"/>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88"/>
    </row>
    <row r="615">
      <c r="A615" s="222"/>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88"/>
    </row>
    <row r="616">
      <c r="A616" s="222"/>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88"/>
    </row>
    <row r="617">
      <c r="A617" s="222"/>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88"/>
    </row>
    <row r="618">
      <c r="A618" s="222"/>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88"/>
    </row>
    <row r="619">
      <c r="A619" s="222"/>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88"/>
    </row>
    <row r="620">
      <c r="A620" s="222"/>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88"/>
    </row>
    <row r="621">
      <c r="A621" s="222"/>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88"/>
    </row>
    <row r="622">
      <c r="A622" s="222"/>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88"/>
    </row>
    <row r="623">
      <c r="A623" s="222"/>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88"/>
    </row>
    <row r="624">
      <c r="A624" s="222"/>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88"/>
    </row>
    <row r="625">
      <c r="A625" s="222"/>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88"/>
    </row>
    <row r="626">
      <c r="A626" s="222"/>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88"/>
    </row>
    <row r="627">
      <c r="A627" s="222"/>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88"/>
    </row>
    <row r="628">
      <c r="A628" s="222"/>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88"/>
    </row>
    <row r="629">
      <c r="A629" s="222"/>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88"/>
    </row>
    <row r="630">
      <c r="A630" s="222"/>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88"/>
    </row>
    <row r="631">
      <c r="A631" s="222"/>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88"/>
    </row>
    <row r="632">
      <c r="A632" s="222"/>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88"/>
    </row>
    <row r="633">
      <c r="A633" s="222"/>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88"/>
    </row>
    <row r="634">
      <c r="A634" s="222"/>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88"/>
    </row>
    <row r="635">
      <c r="A635" s="222"/>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88"/>
    </row>
    <row r="636">
      <c r="A636" s="222"/>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88"/>
    </row>
    <row r="637">
      <c r="A637" s="222"/>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88"/>
    </row>
    <row r="638">
      <c r="A638" s="222"/>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88"/>
    </row>
    <row r="639">
      <c r="A639" s="222"/>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88"/>
    </row>
    <row r="640">
      <c r="A640" s="222"/>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88"/>
    </row>
    <row r="641">
      <c r="A641" s="222"/>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88"/>
    </row>
    <row r="642">
      <c r="A642" s="222"/>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88"/>
    </row>
    <row r="643">
      <c r="A643" s="222"/>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88"/>
    </row>
    <row r="644">
      <c r="A644" s="222"/>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88"/>
    </row>
    <row r="645">
      <c r="A645" s="222"/>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88"/>
    </row>
    <row r="646">
      <c r="A646" s="222"/>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88"/>
    </row>
    <row r="647">
      <c r="A647" s="222"/>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88"/>
    </row>
    <row r="648">
      <c r="A648" s="222"/>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88"/>
    </row>
    <row r="649">
      <c r="A649" s="222"/>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88"/>
    </row>
    <row r="650">
      <c r="A650" s="222"/>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88"/>
    </row>
    <row r="651">
      <c r="A651" s="222"/>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88"/>
    </row>
    <row r="652">
      <c r="A652" s="222"/>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88"/>
    </row>
    <row r="653">
      <c r="A653" s="222"/>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88"/>
    </row>
    <row r="654">
      <c r="A654" s="222"/>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88"/>
    </row>
    <row r="655">
      <c r="A655" s="222"/>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88"/>
    </row>
    <row r="656">
      <c r="A656" s="222"/>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88"/>
    </row>
    <row r="657">
      <c r="A657" s="222"/>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88"/>
    </row>
    <row r="658">
      <c r="A658" s="222"/>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88"/>
    </row>
    <row r="659">
      <c r="A659" s="222"/>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88"/>
    </row>
    <row r="660">
      <c r="A660" s="222"/>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88"/>
    </row>
    <row r="661">
      <c r="A661" s="222"/>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88"/>
    </row>
    <row r="662">
      <c r="A662" s="222"/>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88"/>
    </row>
    <row r="663">
      <c r="A663" s="222"/>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88"/>
    </row>
    <row r="664">
      <c r="A664" s="222"/>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88"/>
    </row>
    <row r="665">
      <c r="A665" s="222"/>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88"/>
    </row>
    <row r="666">
      <c r="A666" s="222"/>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88"/>
    </row>
    <row r="667">
      <c r="A667" s="222"/>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88"/>
    </row>
    <row r="668">
      <c r="A668" s="222"/>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88"/>
    </row>
    <row r="669">
      <c r="A669" s="222"/>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88"/>
    </row>
    <row r="670">
      <c r="A670" s="222"/>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88"/>
    </row>
    <row r="671">
      <c r="A671" s="222"/>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88"/>
    </row>
    <row r="672">
      <c r="A672" s="222"/>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88"/>
    </row>
    <row r="673">
      <c r="A673" s="222"/>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88"/>
    </row>
    <row r="674">
      <c r="A674" s="222"/>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88"/>
    </row>
    <row r="675">
      <c r="A675" s="222"/>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88"/>
    </row>
    <row r="676">
      <c r="A676" s="222"/>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88"/>
    </row>
    <row r="677">
      <c r="A677" s="222"/>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88"/>
    </row>
    <row r="678">
      <c r="A678" s="222"/>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88"/>
    </row>
    <row r="679">
      <c r="A679" s="222"/>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88"/>
    </row>
    <row r="680">
      <c r="A680" s="222"/>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88"/>
    </row>
    <row r="681">
      <c r="A681" s="222"/>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88"/>
    </row>
    <row r="682">
      <c r="A682" s="222"/>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88"/>
    </row>
    <row r="683">
      <c r="A683" s="222"/>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88"/>
    </row>
    <row r="684">
      <c r="A684" s="222"/>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88"/>
    </row>
    <row r="685">
      <c r="A685" s="222"/>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88"/>
    </row>
    <row r="686">
      <c r="A686" s="222"/>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88"/>
    </row>
    <row r="687">
      <c r="A687" s="222"/>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88"/>
    </row>
    <row r="688">
      <c r="A688" s="222"/>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88"/>
    </row>
    <row r="689">
      <c r="A689" s="222"/>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88"/>
    </row>
    <row r="690">
      <c r="A690" s="222"/>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88"/>
    </row>
    <row r="691">
      <c r="A691" s="222"/>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88"/>
    </row>
    <row r="692">
      <c r="A692" s="222"/>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88"/>
    </row>
    <row r="693">
      <c r="A693" s="222"/>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88"/>
    </row>
    <row r="694">
      <c r="A694" s="222"/>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88"/>
    </row>
    <row r="695">
      <c r="A695" s="222"/>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88"/>
    </row>
    <row r="696">
      <c r="A696" s="222"/>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88"/>
    </row>
    <row r="697">
      <c r="A697" s="222"/>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88"/>
    </row>
    <row r="698">
      <c r="A698" s="222"/>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88"/>
    </row>
    <row r="699">
      <c r="A699" s="222"/>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88"/>
    </row>
    <row r="700">
      <c r="A700" s="222"/>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88"/>
    </row>
    <row r="701">
      <c r="A701" s="222"/>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88"/>
    </row>
    <row r="702">
      <c r="A702" s="222"/>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88"/>
    </row>
    <row r="703">
      <c r="A703" s="222"/>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88"/>
    </row>
    <row r="704">
      <c r="A704" s="222"/>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88"/>
    </row>
    <row r="705">
      <c r="A705" s="222"/>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88"/>
    </row>
    <row r="706">
      <c r="A706" s="222"/>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88"/>
    </row>
    <row r="707">
      <c r="A707" s="222"/>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88"/>
    </row>
    <row r="708">
      <c r="A708" s="222"/>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88"/>
    </row>
    <row r="709">
      <c r="A709" s="222"/>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88"/>
    </row>
    <row r="710">
      <c r="A710" s="222"/>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88"/>
    </row>
    <row r="711">
      <c r="A711" s="222"/>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88"/>
    </row>
    <row r="712">
      <c r="A712" s="222"/>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88"/>
    </row>
    <row r="713">
      <c r="A713" s="222"/>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88"/>
    </row>
    <row r="714">
      <c r="A714" s="222"/>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88"/>
    </row>
    <row r="715">
      <c r="A715" s="222"/>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88"/>
    </row>
    <row r="716">
      <c r="A716" s="222"/>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88"/>
    </row>
    <row r="717">
      <c r="A717" s="222"/>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88"/>
    </row>
    <row r="718">
      <c r="A718" s="222"/>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88"/>
    </row>
    <row r="719">
      <c r="A719" s="222"/>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88"/>
    </row>
    <row r="720">
      <c r="A720" s="222"/>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88"/>
    </row>
    <row r="721">
      <c r="A721" s="222"/>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88"/>
    </row>
    <row r="722">
      <c r="A722" s="222"/>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88"/>
    </row>
    <row r="723">
      <c r="A723" s="222"/>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88"/>
    </row>
    <row r="724">
      <c r="A724" s="222"/>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88"/>
    </row>
    <row r="725">
      <c r="A725" s="222"/>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88"/>
    </row>
    <row r="726">
      <c r="A726" s="222"/>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88"/>
    </row>
    <row r="727">
      <c r="A727" s="222"/>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88"/>
    </row>
    <row r="728">
      <c r="A728" s="222"/>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88"/>
    </row>
    <row r="729">
      <c r="A729" s="222"/>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88"/>
    </row>
    <row r="730">
      <c r="A730" s="222"/>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88"/>
    </row>
    <row r="731">
      <c r="A731" s="222"/>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88"/>
    </row>
    <row r="732">
      <c r="A732" s="222"/>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88"/>
    </row>
    <row r="733">
      <c r="A733" s="222"/>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88"/>
    </row>
    <row r="734">
      <c r="A734" s="222"/>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88"/>
    </row>
    <row r="735">
      <c r="A735" s="222"/>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88"/>
    </row>
    <row r="736">
      <c r="A736" s="222"/>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88"/>
    </row>
    <row r="737">
      <c r="A737" s="222"/>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88"/>
    </row>
    <row r="738">
      <c r="A738" s="222"/>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88"/>
    </row>
    <row r="739">
      <c r="A739" s="222"/>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88"/>
    </row>
    <row r="740">
      <c r="A740" s="222"/>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88"/>
    </row>
    <row r="741">
      <c r="A741" s="222"/>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88"/>
    </row>
    <row r="742">
      <c r="A742" s="222"/>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88"/>
    </row>
    <row r="743">
      <c r="A743" s="222"/>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88"/>
    </row>
    <row r="744">
      <c r="A744" s="222"/>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88"/>
    </row>
    <row r="745">
      <c r="A745" s="222"/>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88"/>
    </row>
    <row r="746">
      <c r="A746" s="222"/>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88"/>
    </row>
    <row r="747">
      <c r="A747" s="222"/>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88"/>
    </row>
    <row r="748">
      <c r="A748" s="222"/>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88"/>
    </row>
    <row r="749">
      <c r="A749" s="222"/>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88"/>
    </row>
    <row r="750">
      <c r="A750" s="222"/>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88"/>
    </row>
    <row r="751">
      <c r="A751" s="222"/>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88"/>
    </row>
    <row r="752">
      <c r="A752" s="222"/>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88"/>
    </row>
    <row r="753">
      <c r="A753" s="222"/>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88"/>
    </row>
    <row r="754">
      <c r="A754" s="222"/>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88"/>
    </row>
    <row r="755">
      <c r="A755" s="222"/>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88"/>
    </row>
    <row r="756">
      <c r="A756" s="222"/>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88"/>
    </row>
    <row r="757">
      <c r="A757" s="222"/>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88"/>
    </row>
    <row r="758">
      <c r="A758" s="222"/>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88"/>
    </row>
    <row r="759">
      <c r="A759" s="222"/>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88"/>
    </row>
    <row r="760">
      <c r="A760" s="222"/>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88"/>
    </row>
    <row r="761">
      <c r="A761" s="222"/>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88"/>
    </row>
    <row r="762">
      <c r="A762" s="222"/>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88"/>
    </row>
    <row r="763">
      <c r="A763" s="222"/>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88"/>
    </row>
    <row r="764">
      <c r="A764" s="222"/>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88"/>
    </row>
    <row r="765">
      <c r="A765" s="222"/>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88"/>
    </row>
    <row r="766">
      <c r="A766" s="222"/>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88"/>
    </row>
    <row r="767">
      <c r="A767" s="222"/>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88"/>
    </row>
    <row r="768">
      <c r="A768" s="222"/>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88"/>
    </row>
    <row r="769">
      <c r="A769" s="222"/>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88"/>
    </row>
    <row r="770">
      <c r="A770" s="222"/>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88"/>
    </row>
    <row r="771">
      <c r="A771" s="222"/>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88"/>
    </row>
    <row r="772">
      <c r="A772" s="222"/>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88"/>
    </row>
    <row r="773">
      <c r="A773" s="222"/>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88"/>
    </row>
    <row r="774">
      <c r="A774" s="222"/>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88"/>
    </row>
    <row r="775">
      <c r="A775" s="222"/>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88"/>
    </row>
    <row r="776">
      <c r="A776" s="222"/>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88"/>
    </row>
    <row r="777">
      <c r="A777" s="222"/>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88"/>
    </row>
    <row r="778">
      <c r="A778" s="222"/>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88"/>
    </row>
    <row r="779">
      <c r="A779" s="222"/>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88"/>
    </row>
    <row r="780">
      <c r="A780" s="222"/>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88"/>
    </row>
    <row r="781">
      <c r="A781" s="222"/>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88"/>
    </row>
    <row r="782">
      <c r="A782" s="222"/>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88"/>
    </row>
    <row r="783">
      <c r="A783" s="222"/>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88"/>
    </row>
    <row r="784">
      <c r="A784" s="222"/>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88"/>
    </row>
    <row r="785">
      <c r="A785" s="222"/>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88"/>
    </row>
    <row r="786">
      <c r="A786" s="222"/>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88"/>
    </row>
    <row r="787">
      <c r="A787" s="222"/>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88"/>
    </row>
    <row r="788">
      <c r="A788" s="222"/>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88"/>
    </row>
    <row r="789">
      <c r="A789" s="222"/>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88"/>
    </row>
    <row r="790">
      <c r="A790" s="222"/>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88"/>
    </row>
    <row r="791">
      <c r="A791" s="222"/>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88"/>
    </row>
    <row r="792">
      <c r="A792" s="222"/>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88"/>
    </row>
    <row r="793">
      <c r="A793" s="222"/>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88"/>
    </row>
    <row r="794">
      <c r="A794" s="222"/>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88"/>
    </row>
    <row r="795">
      <c r="A795" s="222"/>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88"/>
    </row>
    <row r="796">
      <c r="A796" s="222"/>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88"/>
    </row>
    <row r="797">
      <c r="A797" s="222"/>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88"/>
    </row>
    <row r="798">
      <c r="A798" s="222"/>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88"/>
    </row>
    <row r="799">
      <c r="A799" s="222"/>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88"/>
    </row>
    <row r="800">
      <c r="A800" s="222"/>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88"/>
    </row>
    <row r="801">
      <c r="A801" s="222"/>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88"/>
    </row>
    <row r="802">
      <c r="A802" s="222"/>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88"/>
    </row>
    <row r="803">
      <c r="A803" s="222"/>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88"/>
    </row>
    <row r="804">
      <c r="A804" s="222"/>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88"/>
    </row>
    <row r="805">
      <c r="A805" s="222"/>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88"/>
    </row>
    <row r="806">
      <c r="A806" s="222"/>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88"/>
    </row>
    <row r="807">
      <c r="A807" s="222"/>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88"/>
    </row>
    <row r="808">
      <c r="A808" s="222"/>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88"/>
    </row>
    <row r="809">
      <c r="A809" s="222"/>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88"/>
    </row>
    <row r="810">
      <c r="A810" s="222"/>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88"/>
    </row>
    <row r="811">
      <c r="A811" s="222"/>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88"/>
    </row>
    <row r="812">
      <c r="A812" s="222"/>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88"/>
    </row>
    <row r="813">
      <c r="A813" s="222"/>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88"/>
    </row>
    <row r="814">
      <c r="A814" s="222"/>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88"/>
    </row>
    <row r="815">
      <c r="A815" s="222"/>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88"/>
    </row>
    <row r="816">
      <c r="A816" s="222"/>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88"/>
    </row>
    <row r="817">
      <c r="A817" s="222"/>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88"/>
    </row>
    <row r="818">
      <c r="A818" s="222"/>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88"/>
    </row>
    <row r="819">
      <c r="A819" s="222"/>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88"/>
    </row>
    <row r="820">
      <c r="A820" s="222"/>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88"/>
    </row>
    <row r="821">
      <c r="A821" s="222"/>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88"/>
    </row>
    <row r="822">
      <c r="A822" s="222"/>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88"/>
    </row>
    <row r="823">
      <c r="A823" s="222"/>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88"/>
    </row>
    <row r="824">
      <c r="A824" s="222"/>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88"/>
    </row>
    <row r="825">
      <c r="A825" s="222"/>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88"/>
    </row>
    <row r="826">
      <c r="A826" s="222"/>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88"/>
    </row>
    <row r="827">
      <c r="A827" s="222"/>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88"/>
    </row>
    <row r="828">
      <c r="A828" s="222"/>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88"/>
    </row>
    <row r="829">
      <c r="A829" s="222"/>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88"/>
    </row>
    <row r="830">
      <c r="A830" s="222"/>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88"/>
    </row>
    <row r="831">
      <c r="A831" s="222"/>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88"/>
    </row>
    <row r="832">
      <c r="A832" s="222"/>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88"/>
    </row>
    <row r="833">
      <c r="A833" s="222"/>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88"/>
    </row>
    <row r="834">
      <c r="A834" s="222"/>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88"/>
    </row>
    <row r="835">
      <c r="A835" s="222"/>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88"/>
    </row>
    <row r="836">
      <c r="A836" s="222"/>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88"/>
    </row>
    <row r="837">
      <c r="A837" s="222"/>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88"/>
    </row>
    <row r="838">
      <c r="A838" s="222"/>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88"/>
    </row>
    <row r="839">
      <c r="A839" s="222"/>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88"/>
    </row>
    <row r="840">
      <c r="A840" s="222"/>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88"/>
    </row>
    <row r="841">
      <c r="A841" s="222"/>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88"/>
    </row>
    <row r="842">
      <c r="A842" s="222"/>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88"/>
    </row>
    <row r="843">
      <c r="A843" s="222"/>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88"/>
    </row>
    <row r="844">
      <c r="A844" s="222"/>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88"/>
    </row>
    <row r="845">
      <c r="A845" s="222"/>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88"/>
    </row>
    <row r="846">
      <c r="A846" s="222"/>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88"/>
    </row>
    <row r="847">
      <c r="A847" s="222"/>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88"/>
    </row>
    <row r="848">
      <c r="A848" s="222"/>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88"/>
    </row>
    <row r="849">
      <c r="A849" s="222"/>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88"/>
    </row>
    <row r="850">
      <c r="A850" s="222"/>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88"/>
    </row>
    <row r="851">
      <c r="A851" s="222"/>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88"/>
    </row>
    <row r="852">
      <c r="A852" s="222"/>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88"/>
    </row>
    <row r="853">
      <c r="A853" s="222"/>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88"/>
    </row>
    <row r="854">
      <c r="A854" s="222"/>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88"/>
    </row>
    <row r="855">
      <c r="A855" s="222"/>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88"/>
    </row>
    <row r="856">
      <c r="A856" s="222"/>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88"/>
    </row>
    <row r="857">
      <c r="A857" s="222"/>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88"/>
    </row>
    <row r="858">
      <c r="A858" s="222"/>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88"/>
    </row>
    <row r="859">
      <c r="A859" s="222"/>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88"/>
    </row>
    <row r="860">
      <c r="A860" s="222"/>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88"/>
    </row>
    <row r="861">
      <c r="A861" s="222"/>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88"/>
    </row>
    <row r="862">
      <c r="A862" s="222"/>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88"/>
    </row>
    <row r="863">
      <c r="A863" s="222"/>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88"/>
    </row>
    <row r="864">
      <c r="A864" s="222"/>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88"/>
    </row>
    <row r="865">
      <c r="A865" s="222"/>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88"/>
    </row>
    <row r="866">
      <c r="A866" s="222"/>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88"/>
    </row>
    <row r="867">
      <c r="A867" s="222"/>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88"/>
    </row>
    <row r="868">
      <c r="A868" s="222"/>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88"/>
    </row>
    <row r="869">
      <c r="A869" s="222"/>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88"/>
    </row>
    <row r="870">
      <c r="A870" s="222"/>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88"/>
    </row>
    <row r="871">
      <c r="A871" s="222"/>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88"/>
    </row>
    <row r="872">
      <c r="A872" s="222"/>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88"/>
    </row>
    <row r="873">
      <c r="A873" s="222"/>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88"/>
    </row>
    <row r="874">
      <c r="A874" s="222"/>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88"/>
    </row>
    <row r="875">
      <c r="A875" s="222"/>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88"/>
    </row>
    <row r="876">
      <c r="A876" s="222"/>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88"/>
    </row>
    <row r="877">
      <c r="A877" s="222"/>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88"/>
    </row>
    <row r="878">
      <c r="A878" s="222"/>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88"/>
    </row>
    <row r="879">
      <c r="A879" s="222"/>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88"/>
    </row>
    <row r="880">
      <c r="A880" s="222"/>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88"/>
    </row>
    <row r="881">
      <c r="A881" s="222"/>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88"/>
    </row>
    <row r="882">
      <c r="A882" s="222"/>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88"/>
    </row>
    <row r="883">
      <c r="A883" s="222"/>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88"/>
    </row>
    <row r="884">
      <c r="A884" s="222"/>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88"/>
    </row>
    <row r="885">
      <c r="A885" s="222"/>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88"/>
    </row>
    <row r="886">
      <c r="A886" s="222"/>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88"/>
    </row>
    <row r="887">
      <c r="A887" s="222"/>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88"/>
    </row>
    <row r="888">
      <c r="A888" s="222"/>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88"/>
    </row>
    <row r="889">
      <c r="A889" s="222"/>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88"/>
    </row>
    <row r="890">
      <c r="A890" s="222"/>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88"/>
    </row>
    <row r="891">
      <c r="A891" s="222"/>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88"/>
    </row>
    <row r="892">
      <c r="A892" s="222"/>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88"/>
    </row>
    <row r="893">
      <c r="A893" s="222"/>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88"/>
    </row>
    <row r="894">
      <c r="A894" s="222"/>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88"/>
    </row>
    <row r="895">
      <c r="A895" s="222"/>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88"/>
    </row>
    <row r="896">
      <c r="A896" s="222"/>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88"/>
    </row>
    <row r="897">
      <c r="A897" s="222"/>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88"/>
    </row>
    <row r="898">
      <c r="A898" s="222"/>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88"/>
    </row>
    <row r="899">
      <c r="A899" s="222"/>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88"/>
    </row>
    <row r="900">
      <c r="A900" s="222"/>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88"/>
    </row>
    <row r="901">
      <c r="A901" s="222"/>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88"/>
    </row>
    <row r="902">
      <c r="A902" s="222"/>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88"/>
    </row>
    <row r="903">
      <c r="A903" s="222"/>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88"/>
    </row>
    <row r="904">
      <c r="A904" s="222"/>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88"/>
    </row>
    <row r="905">
      <c r="A905" s="222"/>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88"/>
    </row>
    <row r="906">
      <c r="A906" s="222"/>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88"/>
    </row>
    <row r="907">
      <c r="A907" s="222"/>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88"/>
    </row>
    <row r="908">
      <c r="A908" s="222"/>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88"/>
    </row>
    <row r="909">
      <c r="A909" s="222"/>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88"/>
    </row>
    <row r="910">
      <c r="A910" s="222"/>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88"/>
    </row>
    <row r="911">
      <c r="A911" s="222"/>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88"/>
    </row>
    <row r="912">
      <c r="A912" s="222"/>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88"/>
    </row>
    <row r="913">
      <c r="A913" s="222"/>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88"/>
    </row>
    <row r="914">
      <c r="A914" s="222"/>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88"/>
    </row>
    <row r="915">
      <c r="A915" s="222"/>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88"/>
    </row>
    <row r="916">
      <c r="A916" s="222"/>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88"/>
    </row>
    <row r="917">
      <c r="A917" s="222"/>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88"/>
    </row>
    <row r="918">
      <c r="A918" s="222"/>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88"/>
    </row>
    <row r="919">
      <c r="A919" s="222"/>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88"/>
    </row>
    <row r="920">
      <c r="A920" s="222"/>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88"/>
    </row>
    <row r="921">
      <c r="A921" s="222"/>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88"/>
    </row>
    <row r="922">
      <c r="A922" s="222"/>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88"/>
    </row>
    <row r="923">
      <c r="A923" s="222"/>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88"/>
    </row>
    <row r="924">
      <c r="A924" s="222"/>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88"/>
    </row>
    <row r="925">
      <c r="A925" s="222"/>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88"/>
    </row>
    <row r="926">
      <c r="A926" s="222"/>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88"/>
    </row>
    <row r="927">
      <c r="A927" s="222"/>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88"/>
    </row>
    <row r="928">
      <c r="A928" s="222"/>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88"/>
    </row>
    <row r="929">
      <c r="A929" s="222"/>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88"/>
    </row>
    <row r="930">
      <c r="A930" s="222"/>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88"/>
    </row>
    <row r="931">
      <c r="A931" s="222"/>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88"/>
    </row>
    <row r="932">
      <c r="A932" s="222"/>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88"/>
    </row>
    <row r="933">
      <c r="A933" s="222"/>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88"/>
    </row>
    <row r="934">
      <c r="A934" s="222"/>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88"/>
    </row>
    <row r="935">
      <c r="A935" s="222"/>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88"/>
    </row>
    <row r="936">
      <c r="A936" s="222"/>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88"/>
    </row>
    <row r="937">
      <c r="A937" s="222"/>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88"/>
    </row>
    <row r="938">
      <c r="A938" s="222"/>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88"/>
    </row>
    <row r="939">
      <c r="A939" s="222"/>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88"/>
    </row>
    <row r="940">
      <c r="A940" s="222"/>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88"/>
    </row>
    <row r="941">
      <c r="A941" s="222"/>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88"/>
    </row>
    <row r="942">
      <c r="A942" s="222"/>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88"/>
    </row>
    <row r="943">
      <c r="A943" s="222"/>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88"/>
    </row>
    <row r="944">
      <c r="A944" s="222"/>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88"/>
    </row>
    <row r="945">
      <c r="A945" s="222"/>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88"/>
    </row>
    <row r="946">
      <c r="A946" s="222"/>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88"/>
    </row>
    <row r="947">
      <c r="A947" s="222"/>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88"/>
    </row>
    <row r="948">
      <c r="A948" s="222"/>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88"/>
    </row>
    <row r="949">
      <c r="A949" s="222"/>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88"/>
    </row>
    <row r="950">
      <c r="A950" s="222"/>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88"/>
    </row>
    <row r="951">
      <c r="A951" s="222"/>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88"/>
    </row>
    <row r="952">
      <c r="A952" s="222"/>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88"/>
    </row>
    <row r="953">
      <c r="A953" s="222"/>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88"/>
    </row>
    <row r="954">
      <c r="A954" s="222"/>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88"/>
    </row>
    <row r="955">
      <c r="A955" s="222"/>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88"/>
    </row>
    <row r="956">
      <c r="A956" s="222"/>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88"/>
    </row>
    <row r="957">
      <c r="A957" s="222"/>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88"/>
    </row>
    <row r="958">
      <c r="A958" s="222"/>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88"/>
    </row>
    <row r="959">
      <c r="A959" s="222"/>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88"/>
    </row>
    <row r="960">
      <c r="A960" s="222"/>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88"/>
    </row>
    <row r="961">
      <c r="A961" s="222"/>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88"/>
    </row>
    <row r="962">
      <c r="A962" s="222"/>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88"/>
    </row>
    <row r="963">
      <c r="A963" s="222"/>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88"/>
    </row>
    <row r="964">
      <c r="A964" s="222"/>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88"/>
    </row>
    <row r="965">
      <c r="A965" s="222"/>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88"/>
    </row>
    <row r="966">
      <c r="A966" s="222"/>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88"/>
    </row>
    <row r="967">
      <c r="A967" s="222"/>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88"/>
    </row>
    <row r="968">
      <c r="A968" s="222"/>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88"/>
    </row>
    <row r="969">
      <c r="A969" s="222"/>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88"/>
    </row>
    <row r="970">
      <c r="A970" s="222"/>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88"/>
    </row>
    <row r="971">
      <c r="A971" s="222"/>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88"/>
    </row>
    <row r="972">
      <c r="A972" s="222"/>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88"/>
    </row>
    <row r="973">
      <c r="A973" s="222"/>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88"/>
    </row>
    <row r="974">
      <c r="A974" s="222"/>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88"/>
    </row>
    <row r="975">
      <c r="A975" s="222"/>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88"/>
    </row>
    <row r="976">
      <c r="A976" s="222"/>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88"/>
    </row>
    <row r="977">
      <c r="A977" s="222"/>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88"/>
    </row>
    <row r="978">
      <c r="A978" s="222"/>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88"/>
    </row>
    <row r="979">
      <c r="A979" s="222"/>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88"/>
    </row>
    <row r="980">
      <c r="A980" s="222"/>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88"/>
    </row>
    <row r="981">
      <c r="A981" s="222"/>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88"/>
    </row>
    <row r="982">
      <c r="A982" s="222"/>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88"/>
    </row>
    <row r="983">
      <c r="A983" s="222"/>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88"/>
    </row>
    <row r="984">
      <c r="A984" s="222"/>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88"/>
    </row>
    <row r="985">
      <c r="A985" s="222"/>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88"/>
    </row>
    <row r="986">
      <c r="A986" s="222"/>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88"/>
    </row>
    <row r="987">
      <c r="A987" s="222"/>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88"/>
    </row>
    <row r="988">
      <c r="A988" s="222"/>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88"/>
    </row>
    <row r="989">
      <c r="A989" s="222"/>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88"/>
    </row>
    <row r="990">
      <c r="A990" s="222"/>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88"/>
    </row>
    <row r="991">
      <c r="A991" s="222"/>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88"/>
    </row>
    <row r="992">
      <c r="A992" s="222"/>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88"/>
    </row>
    <row r="993">
      <c r="A993" s="222"/>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88"/>
    </row>
    <row r="994">
      <c r="A994" s="222"/>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88"/>
    </row>
    <row r="995">
      <c r="A995" s="222"/>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88"/>
    </row>
    <row r="996">
      <c r="A996" s="222"/>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88"/>
    </row>
    <row r="997">
      <c r="A997" s="222"/>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88"/>
    </row>
    <row r="998">
      <c r="A998" s="222"/>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88"/>
    </row>
    <row r="999">
      <c r="A999" s="222"/>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88"/>
    </row>
    <row r="1000">
      <c r="A1000" s="225"/>
      <c r="B1000" s="226"/>
      <c r="C1000" s="226"/>
      <c r="D1000" s="226"/>
      <c r="E1000" s="226"/>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7"/>
    </row>
  </sheetData>
  <mergeCells count="21">
    <mergeCell ref="G3:G10"/>
    <mergeCell ref="G11:G18"/>
    <mergeCell ref="G30:G37"/>
    <mergeCell ref="G41:G48"/>
    <mergeCell ref="C11:C18"/>
    <mergeCell ref="C20:C27"/>
    <mergeCell ref="A30:A37"/>
    <mergeCell ref="C30:C37"/>
    <mergeCell ref="D30:D37"/>
    <mergeCell ref="A41:A48"/>
    <mergeCell ref="C41:C48"/>
    <mergeCell ref="D41:D48"/>
    <mergeCell ref="D20:D27"/>
    <mergeCell ref="G20:G27"/>
    <mergeCell ref="A1:J1"/>
    <mergeCell ref="A3:A10"/>
    <mergeCell ref="C3:C10"/>
    <mergeCell ref="D3:D10"/>
    <mergeCell ref="A11:A18"/>
    <mergeCell ref="D11:D18"/>
    <mergeCell ref="A20:A27"/>
  </mergeCells>
  <conditionalFormatting sqref="H3:J18 H20:J27 H30:J37 H41:J48">
    <cfRule type="cellIs" dxfId="6" priority="1" operator="equal">
      <formula>"Open"</formula>
    </cfRule>
  </conditionalFormatting>
  <conditionalFormatting sqref="H3:J18 H20:J27 H30:J37 H41:J48">
    <cfRule type="cellIs" dxfId="7" priority="2" operator="equal">
      <formula>"Closed"</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38"/>
    <col customWidth="1" min="8" max="8" width="31.63"/>
    <col customWidth="1" min="9" max="9" width="20.63"/>
  </cols>
  <sheetData>
    <row r="1">
      <c r="A1" s="239" t="s">
        <v>197</v>
      </c>
      <c r="K1" s="178"/>
      <c r="L1" s="178"/>
      <c r="M1" s="178"/>
      <c r="N1" s="178"/>
      <c r="O1" s="178"/>
      <c r="P1" s="178"/>
      <c r="Q1" s="178"/>
      <c r="R1" s="178"/>
      <c r="S1" s="178"/>
      <c r="T1" s="178"/>
      <c r="U1" s="178"/>
      <c r="V1" s="178"/>
      <c r="W1" s="178"/>
      <c r="X1" s="178"/>
      <c r="Y1" s="178"/>
      <c r="Z1" s="178"/>
      <c r="AA1" s="178"/>
    </row>
    <row r="2">
      <c r="A2" s="152" t="s">
        <v>146</v>
      </c>
      <c r="B2" s="153" t="s">
        <v>147</v>
      </c>
      <c r="C2" s="152" t="s">
        <v>148</v>
      </c>
      <c r="D2" s="152" t="s">
        <v>149</v>
      </c>
      <c r="E2" s="153" t="s">
        <v>150</v>
      </c>
      <c r="F2" s="154" t="s">
        <v>112</v>
      </c>
      <c r="G2" s="153" t="s">
        <v>151</v>
      </c>
      <c r="H2" s="153" t="s">
        <v>198</v>
      </c>
      <c r="I2" s="153" t="s">
        <v>153</v>
      </c>
      <c r="J2" s="153" t="s">
        <v>154</v>
      </c>
      <c r="K2" s="178"/>
      <c r="L2" s="178"/>
      <c r="M2" s="178"/>
      <c r="N2" s="178"/>
      <c r="O2" s="178"/>
      <c r="P2" s="178"/>
      <c r="Q2" s="178"/>
      <c r="R2" s="178"/>
      <c r="S2" s="178"/>
      <c r="T2" s="178"/>
      <c r="U2" s="178"/>
      <c r="V2" s="178"/>
      <c r="W2" s="178"/>
      <c r="X2" s="178"/>
      <c r="Y2" s="178"/>
      <c r="Z2" s="178"/>
      <c r="AA2" s="178"/>
    </row>
    <row r="3">
      <c r="A3" s="51">
        <v>1.47102733E9</v>
      </c>
      <c r="B3" s="155">
        <v>45731.0</v>
      </c>
      <c r="C3" s="51" t="s">
        <v>73</v>
      </c>
      <c r="D3" s="51">
        <v>23560.0</v>
      </c>
      <c r="E3" s="150">
        <v>0.0</v>
      </c>
      <c r="F3" s="150">
        <f>D3-E3</f>
        <v>23560</v>
      </c>
      <c r="G3" s="156">
        <v>7650.0</v>
      </c>
      <c r="H3" s="158">
        <f t="shared" ref="H3:H34" si="1">IF(E3="","",(SUM($G$3*E3)))</f>
        <v>0</v>
      </c>
      <c r="I3" s="158">
        <f>F3*G3</f>
        <v>180234000</v>
      </c>
      <c r="J3" s="159" t="str">
        <f>IF(OR(D3="",E3=""),"",IF(F3&lt;=0,"Closed","Open"))</f>
        <v>Open</v>
      </c>
      <c r="K3" s="178"/>
      <c r="L3" s="178"/>
      <c r="M3" s="178"/>
      <c r="N3" s="178"/>
      <c r="O3" s="178"/>
      <c r="P3" s="178"/>
      <c r="Q3" s="178"/>
      <c r="R3" s="178"/>
      <c r="S3" s="178"/>
      <c r="T3" s="178"/>
      <c r="U3" s="178"/>
      <c r="V3" s="178"/>
      <c r="W3" s="178"/>
      <c r="X3" s="178"/>
      <c r="Y3" s="178"/>
      <c r="Z3" s="178"/>
      <c r="AA3" s="178"/>
    </row>
    <row r="4">
      <c r="A4" s="94"/>
      <c r="B4" s="160"/>
      <c r="C4" s="94"/>
      <c r="D4" s="94"/>
      <c r="E4" s="161"/>
      <c r="F4" s="161" t="str">
        <f t="shared" ref="F4:F10" si="2">IF(E4="","",(SUM(F3-E4)))</f>
        <v/>
      </c>
      <c r="G4" s="94"/>
      <c r="H4" s="166" t="str">
        <f t="shared" si="1"/>
        <v/>
      </c>
      <c r="I4" s="166" t="str">
        <f>IF(F4="","",(SUM(G3*F4)))</f>
        <v/>
      </c>
      <c r="J4" s="164" t="str">
        <f t="shared" ref="J4:J10" si="3">IF(OR(F4="",E4=""),"",IF(F4&lt;=0,"Closed","Open"))</f>
        <v/>
      </c>
      <c r="K4" s="178"/>
      <c r="L4" s="178"/>
      <c r="M4" s="178"/>
      <c r="N4" s="178"/>
      <c r="O4" s="178"/>
      <c r="P4" s="178"/>
      <c r="Q4" s="178"/>
      <c r="R4" s="178"/>
      <c r="S4" s="178"/>
      <c r="T4" s="178"/>
      <c r="U4" s="178"/>
      <c r="V4" s="178"/>
      <c r="W4" s="178"/>
      <c r="X4" s="178"/>
      <c r="Y4" s="178"/>
      <c r="Z4" s="178"/>
      <c r="AA4" s="178"/>
    </row>
    <row r="5">
      <c r="A5" s="61"/>
      <c r="B5" s="155"/>
      <c r="C5" s="61"/>
      <c r="D5" s="61"/>
      <c r="E5" s="150"/>
      <c r="F5" s="150" t="str">
        <f t="shared" si="2"/>
        <v/>
      </c>
      <c r="G5" s="61"/>
      <c r="H5" s="168" t="str">
        <f t="shared" si="1"/>
        <v/>
      </c>
      <c r="I5" s="168" t="str">
        <f>IF(F5="","",(SUM(G3*F5)))</f>
        <v/>
      </c>
      <c r="J5" s="159" t="str">
        <f t="shared" si="3"/>
        <v/>
      </c>
      <c r="K5" s="178"/>
      <c r="L5" s="178"/>
      <c r="M5" s="178"/>
      <c r="N5" s="178"/>
      <c r="O5" s="178"/>
      <c r="P5" s="178"/>
      <c r="Q5" s="178"/>
      <c r="R5" s="178"/>
      <c r="S5" s="178"/>
      <c r="T5" s="178"/>
      <c r="U5" s="178"/>
      <c r="V5" s="178"/>
      <c r="W5" s="178"/>
      <c r="X5" s="178"/>
      <c r="Y5" s="178"/>
      <c r="Z5" s="178"/>
      <c r="AA5" s="178"/>
    </row>
    <row r="6">
      <c r="A6" s="94"/>
      <c r="B6" s="160"/>
      <c r="C6" s="94"/>
      <c r="D6" s="94"/>
      <c r="E6" s="161"/>
      <c r="F6" s="161" t="str">
        <f t="shared" si="2"/>
        <v/>
      </c>
      <c r="G6" s="94"/>
      <c r="H6" s="166" t="str">
        <f t="shared" si="1"/>
        <v/>
      </c>
      <c r="I6" s="166" t="str">
        <f>IF(F6="","",(SUM(G3*F6)))</f>
        <v/>
      </c>
      <c r="J6" s="164" t="str">
        <f t="shared" si="3"/>
        <v/>
      </c>
      <c r="K6" s="178"/>
      <c r="L6" s="178"/>
      <c r="M6" s="178"/>
      <c r="N6" s="178"/>
      <c r="O6" s="178"/>
      <c r="P6" s="178"/>
      <c r="Q6" s="178"/>
      <c r="R6" s="178"/>
      <c r="S6" s="178"/>
      <c r="T6" s="178"/>
      <c r="U6" s="178"/>
      <c r="V6" s="178"/>
      <c r="W6" s="178"/>
      <c r="X6" s="178"/>
      <c r="Y6" s="178"/>
      <c r="Z6" s="178"/>
      <c r="AA6" s="178"/>
    </row>
    <row r="7">
      <c r="A7" s="61"/>
      <c r="B7" s="155"/>
      <c r="C7" s="61"/>
      <c r="D7" s="61"/>
      <c r="E7" s="150"/>
      <c r="F7" s="150" t="str">
        <f t="shared" si="2"/>
        <v/>
      </c>
      <c r="G7" s="61"/>
      <c r="H7" s="168" t="str">
        <f t="shared" si="1"/>
        <v/>
      </c>
      <c r="I7" s="168" t="str">
        <f>IF(F7="","",(SUM(G3*F7)))</f>
        <v/>
      </c>
      <c r="J7" s="159" t="str">
        <f t="shared" si="3"/>
        <v/>
      </c>
      <c r="K7" s="178"/>
      <c r="L7" s="178"/>
      <c r="M7" s="178"/>
      <c r="N7" s="178"/>
      <c r="O7" s="178"/>
      <c r="P7" s="178"/>
      <c r="Q7" s="178"/>
      <c r="R7" s="178"/>
      <c r="S7" s="178"/>
      <c r="T7" s="178"/>
      <c r="U7" s="178"/>
      <c r="V7" s="178"/>
      <c r="W7" s="178"/>
      <c r="X7" s="178"/>
      <c r="Y7" s="178"/>
      <c r="Z7" s="178"/>
      <c r="AA7" s="178"/>
    </row>
    <row r="8">
      <c r="A8" s="94"/>
      <c r="B8" s="160"/>
      <c r="C8" s="94"/>
      <c r="D8" s="94"/>
      <c r="E8" s="161"/>
      <c r="F8" s="161" t="str">
        <f t="shared" si="2"/>
        <v/>
      </c>
      <c r="G8" s="94"/>
      <c r="H8" s="166" t="str">
        <f t="shared" si="1"/>
        <v/>
      </c>
      <c r="I8" s="166" t="str">
        <f>IF(F8="","",(SUM(G3*F8)))</f>
        <v/>
      </c>
      <c r="J8" s="164" t="str">
        <f t="shared" si="3"/>
        <v/>
      </c>
      <c r="K8" s="178"/>
      <c r="L8" s="178"/>
      <c r="M8" s="178"/>
      <c r="N8" s="178"/>
      <c r="O8" s="178"/>
      <c r="P8" s="178"/>
      <c r="Q8" s="178"/>
      <c r="R8" s="178"/>
      <c r="S8" s="178"/>
      <c r="T8" s="178"/>
      <c r="U8" s="178"/>
      <c r="V8" s="178"/>
      <c r="W8" s="178"/>
      <c r="X8" s="178"/>
      <c r="Y8" s="178"/>
      <c r="Z8" s="178"/>
      <c r="AA8" s="178"/>
    </row>
    <row r="9">
      <c r="A9" s="61"/>
      <c r="B9" s="155"/>
      <c r="C9" s="61"/>
      <c r="D9" s="61"/>
      <c r="E9" s="150"/>
      <c r="F9" s="150" t="str">
        <f t="shared" si="2"/>
        <v/>
      </c>
      <c r="G9" s="61"/>
      <c r="H9" s="168" t="str">
        <f t="shared" si="1"/>
        <v/>
      </c>
      <c r="I9" s="168" t="str">
        <f>IF(F9="","",(SUM(G3*F9)))</f>
        <v/>
      </c>
      <c r="J9" s="159" t="str">
        <f t="shared" si="3"/>
        <v/>
      </c>
      <c r="K9" s="178"/>
      <c r="L9" s="178"/>
      <c r="M9" s="178"/>
      <c r="N9" s="178"/>
      <c r="O9" s="178"/>
      <c r="P9" s="178"/>
      <c r="Q9" s="178"/>
      <c r="R9" s="178"/>
      <c r="S9" s="178"/>
      <c r="T9" s="178"/>
      <c r="U9" s="178"/>
      <c r="V9" s="178"/>
      <c r="W9" s="178"/>
      <c r="X9" s="178"/>
      <c r="Y9" s="178"/>
      <c r="Z9" s="178"/>
      <c r="AA9" s="178"/>
    </row>
    <row r="10">
      <c r="A10" s="138"/>
      <c r="B10" s="160"/>
      <c r="C10" s="138"/>
      <c r="D10" s="138"/>
      <c r="E10" s="161"/>
      <c r="F10" s="161" t="str">
        <f t="shared" si="2"/>
        <v/>
      </c>
      <c r="G10" s="138"/>
      <c r="H10" s="166" t="str">
        <f t="shared" si="1"/>
        <v/>
      </c>
      <c r="I10" s="166" t="str">
        <f>IF(F10="","",(SUM(G3*F10)))</f>
        <v/>
      </c>
      <c r="J10" s="164" t="str">
        <f t="shared" si="3"/>
        <v/>
      </c>
      <c r="K10" s="178"/>
      <c r="L10" s="178"/>
      <c r="M10" s="178"/>
      <c r="N10" s="178"/>
      <c r="O10" s="178"/>
      <c r="P10" s="178"/>
      <c r="Q10" s="178"/>
      <c r="R10" s="178"/>
      <c r="S10" s="178"/>
      <c r="T10" s="178"/>
      <c r="U10" s="178"/>
      <c r="V10" s="178"/>
      <c r="W10" s="178"/>
      <c r="X10" s="178"/>
      <c r="Y10" s="178"/>
      <c r="Z10" s="178"/>
      <c r="AA10" s="178"/>
    </row>
    <row r="11">
      <c r="A11" s="51">
        <v>1.471027332E9</v>
      </c>
      <c r="B11" s="155">
        <v>45731.0</v>
      </c>
      <c r="C11" s="51" t="s">
        <v>75</v>
      </c>
      <c r="D11" s="51">
        <v>17780.0</v>
      </c>
      <c r="E11" s="150">
        <v>0.0</v>
      </c>
      <c r="F11" s="150">
        <f>D11-E11</f>
        <v>17780</v>
      </c>
      <c r="G11" s="156">
        <v>7250.0</v>
      </c>
      <c r="H11" s="158">
        <f t="shared" si="1"/>
        <v>0</v>
      </c>
      <c r="I11" s="158">
        <f>F11*G11</f>
        <v>128905000</v>
      </c>
      <c r="J11" s="159" t="str">
        <f>IF(OR(D11="",E11=""),"",IF(F11&lt;=0,"Closed","Open"))</f>
        <v>Open</v>
      </c>
      <c r="K11" s="178"/>
      <c r="L11" s="178"/>
      <c r="M11" s="178"/>
      <c r="N11" s="178"/>
      <c r="O11" s="178"/>
      <c r="P11" s="178"/>
      <c r="Q11" s="178"/>
      <c r="R11" s="178"/>
      <c r="S11" s="178"/>
      <c r="T11" s="178"/>
      <c r="U11" s="178"/>
      <c r="V11" s="178"/>
      <c r="W11" s="178"/>
      <c r="X11" s="178"/>
      <c r="Y11" s="178"/>
      <c r="Z11" s="178"/>
      <c r="AA11" s="178"/>
    </row>
    <row r="12">
      <c r="A12" s="94"/>
      <c r="B12" s="160"/>
      <c r="C12" s="94"/>
      <c r="D12" s="94"/>
      <c r="E12" s="161">
        <v>3940.0</v>
      </c>
      <c r="F12" s="161">
        <f>IF(E12="","",(SUM(F11-E12)))</f>
        <v>13840</v>
      </c>
      <c r="G12" s="94"/>
      <c r="H12" s="163">
        <f t="shared" si="1"/>
        <v>30141000</v>
      </c>
      <c r="I12" s="163">
        <f>IF(F12="","",(SUM(G11*F12)))</f>
        <v>100340000</v>
      </c>
      <c r="J12" s="164" t="str">
        <f t="shared" ref="J12:J18" si="4">IF(OR(F12="",E12=""),"",IF(F12&lt;=0,"Closed","Open"))</f>
        <v>Open</v>
      </c>
      <c r="K12" s="178"/>
      <c r="L12" s="178"/>
      <c r="M12" s="178"/>
      <c r="N12" s="178"/>
      <c r="O12" s="178"/>
      <c r="P12" s="178"/>
      <c r="Q12" s="178"/>
      <c r="R12" s="178"/>
      <c r="S12" s="178"/>
      <c r="T12" s="178"/>
      <c r="U12" s="178"/>
      <c r="V12" s="178"/>
      <c r="W12" s="178"/>
      <c r="X12" s="178"/>
      <c r="Y12" s="178"/>
      <c r="Z12" s="178"/>
      <c r="AA12" s="178"/>
    </row>
    <row r="13">
      <c r="A13" s="61"/>
      <c r="B13" s="155"/>
      <c r="C13" s="61"/>
      <c r="D13" s="61"/>
      <c r="E13" s="150"/>
      <c r="F13" s="150"/>
      <c r="G13" s="61"/>
      <c r="H13" s="168" t="str">
        <f t="shared" si="1"/>
        <v/>
      </c>
      <c r="I13" s="168" t="str">
        <f>IF(F13="","",(SUM(G11*F13)))</f>
        <v/>
      </c>
      <c r="J13" s="159" t="str">
        <f t="shared" si="4"/>
        <v/>
      </c>
      <c r="K13" s="178"/>
      <c r="L13" s="178"/>
      <c r="M13" s="178"/>
      <c r="N13" s="178"/>
      <c r="O13" s="178"/>
      <c r="P13" s="178"/>
      <c r="Q13" s="178"/>
      <c r="R13" s="178"/>
      <c r="S13" s="178"/>
      <c r="T13" s="178"/>
      <c r="U13" s="178"/>
      <c r="V13" s="178"/>
      <c r="W13" s="178"/>
      <c r="X13" s="178"/>
      <c r="Y13" s="178"/>
      <c r="Z13" s="178"/>
      <c r="AA13" s="178"/>
    </row>
    <row r="14">
      <c r="A14" s="94"/>
      <c r="B14" s="160"/>
      <c r="C14" s="94"/>
      <c r="D14" s="94"/>
      <c r="E14" s="161"/>
      <c r="F14" s="161"/>
      <c r="G14" s="94"/>
      <c r="H14" s="166" t="str">
        <f t="shared" si="1"/>
        <v/>
      </c>
      <c r="I14" s="166" t="str">
        <f>IF(F14="","",(SUM(G11*F14)))</f>
        <v/>
      </c>
      <c r="J14" s="164" t="str">
        <f t="shared" si="4"/>
        <v/>
      </c>
      <c r="K14" s="178"/>
      <c r="L14" s="178"/>
      <c r="M14" s="178"/>
      <c r="N14" s="178"/>
      <c r="O14" s="178"/>
      <c r="P14" s="178"/>
      <c r="Q14" s="178"/>
      <c r="R14" s="178"/>
      <c r="S14" s="178"/>
      <c r="T14" s="178"/>
      <c r="U14" s="178"/>
      <c r="V14" s="178"/>
      <c r="W14" s="178"/>
      <c r="X14" s="178"/>
      <c r="Y14" s="178"/>
      <c r="Z14" s="178"/>
      <c r="AA14" s="178"/>
    </row>
    <row r="15">
      <c r="A15" s="61"/>
      <c r="B15" s="155"/>
      <c r="C15" s="61"/>
      <c r="D15" s="61"/>
      <c r="E15" s="150"/>
      <c r="F15" s="150"/>
      <c r="G15" s="61"/>
      <c r="H15" s="168" t="str">
        <f t="shared" si="1"/>
        <v/>
      </c>
      <c r="I15" s="168" t="str">
        <f>IF(F15="","",(SUM(G11*F15)))</f>
        <v/>
      </c>
      <c r="J15" s="159" t="str">
        <f t="shared" si="4"/>
        <v/>
      </c>
      <c r="K15" s="178"/>
      <c r="L15" s="178"/>
      <c r="M15" s="178"/>
      <c r="N15" s="178"/>
      <c r="O15" s="178"/>
      <c r="P15" s="178"/>
      <c r="Q15" s="178"/>
      <c r="R15" s="178"/>
      <c r="S15" s="178"/>
      <c r="T15" s="178"/>
      <c r="U15" s="178"/>
      <c r="V15" s="178"/>
      <c r="W15" s="178"/>
      <c r="X15" s="178"/>
      <c r="Y15" s="178"/>
      <c r="Z15" s="178"/>
      <c r="AA15" s="178"/>
    </row>
    <row r="16">
      <c r="A16" s="94"/>
      <c r="B16" s="160"/>
      <c r="C16" s="94"/>
      <c r="D16" s="94"/>
      <c r="E16" s="161"/>
      <c r="F16" s="161"/>
      <c r="G16" s="94"/>
      <c r="H16" s="166" t="str">
        <f t="shared" si="1"/>
        <v/>
      </c>
      <c r="I16" s="166" t="str">
        <f>IF(F16="","",(SUM(G11*F16)))</f>
        <v/>
      </c>
      <c r="J16" s="164" t="str">
        <f t="shared" si="4"/>
        <v/>
      </c>
      <c r="K16" s="178"/>
      <c r="L16" s="178"/>
      <c r="M16" s="178"/>
      <c r="N16" s="178"/>
      <c r="O16" s="178"/>
      <c r="P16" s="178"/>
      <c r="Q16" s="178"/>
      <c r="R16" s="178"/>
      <c r="S16" s="178"/>
      <c r="T16" s="178"/>
      <c r="U16" s="178"/>
      <c r="V16" s="178"/>
      <c r="W16" s="178"/>
      <c r="X16" s="178"/>
      <c r="Y16" s="178"/>
      <c r="Z16" s="178"/>
      <c r="AA16" s="178"/>
    </row>
    <row r="17">
      <c r="A17" s="61"/>
      <c r="B17" s="155"/>
      <c r="C17" s="61"/>
      <c r="D17" s="61"/>
      <c r="E17" s="150"/>
      <c r="F17" s="150"/>
      <c r="G17" s="61"/>
      <c r="H17" s="168" t="str">
        <f t="shared" si="1"/>
        <v/>
      </c>
      <c r="I17" s="168" t="str">
        <f>IF(F17="","",(SUM(G11*F17)))</f>
        <v/>
      </c>
      <c r="J17" s="159" t="str">
        <f t="shared" si="4"/>
        <v/>
      </c>
      <c r="K17" s="178"/>
      <c r="L17" s="178"/>
      <c r="M17" s="178"/>
      <c r="N17" s="178"/>
      <c r="O17" s="178"/>
      <c r="P17" s="178"/>
      <c r="Q17" s="178"/>
      <c r="R17" s="178"/>
      <c r="S17" s="178"/>
      <c r="T17" s="178"/>
      <c r="U17" s="178"/>
      <c r="V17" s="178"/>
      <c r="W17" s="178"/>
      <c r="X17" s="178"/>
      <c r="Y17" s="178"/>
      <c r="Z17" s="178"/>
      <c r="AA17" s="178"/>
    </row>
    <row r="18">
      <c r="A18" s="138"/>
      <c r="B18" s="160"/>
      <c r="C18" s="138"/>
      <c r="D18" s="138"/>
      <c r="E18" s="161"/>
      <c r="F18" s="161"/>
      <c r="G18" s="138"/>
      <c r="H18" s="166" t="str">
        <f t="shared" si="1"/>
        <v/>
      </c>
      <c r="I18" s="166" t="str">
        <f>IF(F18="","",(SUM(G11*F18)))</f>
        <v/>
      </c>
      <c r="J18" s="164" t="str">
        <f t="shared" si="4"/>
        <v/>
      </c>
      <c r="K18" s="178"/>
      <c r="L18" s="178"/>
      <c r="M18" s="178"/>
      <c r="N18" s="178"/>
      <c r="O18" s="178"/>
      <c r="P18" s="178"/>
      <c r="Q18" s="178"/>
      <c r="R18" s="178"/>
      <c r="S18" s="178"/>
      <c r="T18" s="178"/>
      <c r="U18" s="178"/>
      <c r="V18" s="178"/>
      <c r="W18" s="178"/>
      <c r="X18" s="178"/>
      <c r="Y18" s="178"/>
      <c r="Z18" s="178"/>
      <c r="AA18" s="178"/>
    </row>
    <row r="19">
      <c r="A19" s="51">
        <v>1.471027017E9</v>
      </c>
      <c r="B19" s="155">
        <v>45731.0</v>
      </c>
      <c r="C19" s="51" t="s">
        <v>73</v>
      </c>
      <c r="D19" s="51">
        <v>3060.0</v>
      </c>
      <c r="E19" s="150">
        <v>0.0</v>
      </c>
      <c r="F19" s="150">
        <f>D19-E19</f>
        <v>3060</v>
      </c>
      <c r="G19" s="156">
        <v>7650.0</v>
      </c>
      <c r="H19" s="158">
        <f t="shared" si="1"/>
        <v>0</v>
      </c>
      <c r="I19" s="158">
        <f>F19*G19</f>
        <v>23409000</v>
      </c>
      <c r="J19" s="159" t="str">
        <f>IF(OR(D19="",E19=""),"",IF(F19&lt;=0,"Closed","Open"))</f>
        <v>Open</v>
      </c>
      <c r="K19" s="178"/>
      <c r="L19" s="178"/>
      <c r="M19" s="178"/>
      <c r="N19" s="178"/>
      <c r="O19" s="178"/>
      <c r="P19" s="178"/>
      <c r="Q19" s="178"/>
      <c r="R19" s="178"/>
      <c r="S19" s="178"/>
      <c r="T19" s="178"/>
      <c r="U19" s="178"/>
      <c r="V19" s="178"/>
      <c r="W19" s="178"/>
      <c r="X19" s="178"/>
      <c r="Y19" s="178"/>
      <c r="Z19" s="178"/>
      <c r="AA19" s="178"/>
    </row>
    <row r="20">
      <c r="A20" s="94"/>
      <c r="B20" s="160">
        <v>45733.0</v>
      </c>
      <c r="C20" s="94"/>
      <c r="D20" s="94"/>
      <c r="E20" s="161">
        <v>5000.0</v>
      </c>
      <c r="F20" s="161">
        <f t="shared" ref="F20:F26" si="5">IF(E20="","",(SUM(F19-E20)))</f>
        <v>-1940</v>
      </c>
      <c r="G20" s="94"/>
      <c r="H20" s="163">
        <f t="shared" si="1"/>
        <v>38250000</v>
      </c>
      <c r="I20" s="163">
        <f>IF(F20="","",(SUM(G19*F20)))</f>
        <v>-14841000</v>
      </c>
      <c r="J20" s="164" t="str">
        <f t="shared" ref="J20:J26" si="6">IF(OR(F20="",E20=""),"",IF(F20&lt;=0,"Closed","Open"))</f>
        <v>Closed</v>
      </c>
      <c r="K20" s="178"/>
      <c r="L20" s="178"/>
      <c r="M20" s="178"/>
      <c r="N20" s="178"/>
      <c r="O20" s="178"/>
      <c r="P20" s="178"/>
      <c r="Q20" s="178"/>
      <c r="R20" s="178"/>
      <c r="S20" s="178"/>
      <c r="T20" s="178"/>
      <c r="U20" s="178"/>
      <c r="V20" s="178"/>
      <c r="W20" s="178"/>
      <c r="X20" s="178"/>
      <c r="Y20" s="178"/>
      <c r="Z20" s="178"/>
      <c r="AA20" s="178"/>
    </row>
    <row r="21">
      <c r="A21" s="61"/>
      <c r="B21" s="155">
        <v>45734.0</v>
      </c>
      <c r="C21" s="61"/>
      <c r="D21" s="61"/>
      <c r="E21" s="150">
        <v>2030.0</v>
      </c>
      <c r="F21" s="150">
        <f t="shared" si="5"/>
        <v>-3970</v>
      </c>
      <c r="G21" s="61"/>
      <c r="H21" s="158">
        <f t="shared" si="1"/>
        <v>15529500</v>
      </c>
      <c r="I21" s="158">
        <f>IF(F21="","",(SUM(G19*F21)))</f>
        <v>-30370500</v>
      </c>
      <c r="J21" s="159" t="str">
        <f t="shared" si="6"/>
        <v>Closed</v>
      </c>
      <c r="K21" s="178"/>
      <c r="L21" s="178"/>
      <c r="M21" s="178"/>
      <c r="N21" s="178"/>
      <c r="O21" s="178"/>
      <c r="P21" s="178"/>
      <c r="Q21" s="178"/>
      <c r="R21" s="178"/>
      <c r="S21" s="178"/>
      <c r="T21" s="178"/>
      <c r="U21" s="178"/>
      <c r="V21" s="178"/>
      <c r="W21" s="178"/>
      <c r="X21" s="178"/>
      <c r="Y21" s="178"/>
      <c r="Z21" s="178"/>
      <c r="AA21" s="178"/>
    </row>
    <row r="22">
      <c r="A22" s="94"/>
      <c r="B22" s="160"/>
      <c r="C22" s="94"/>
      <c r="D22" s="94"/>
      <c r="E22" s="161"/>
      <c r="F22" s="161" t="str">
        <f t="shared" si="5"/>
        <v/>
      </c>
      <c r="G22" s="94"/>
      <c r="H22" s="166" t="str">
        <f t="shared" si="1"/>
        <v/>
      </c>
      <c r="I22" s="166" t="str">
        <f>IF(F22="","",(SUM(G19*F22)))</f>
        <v/>
      </c>
      <c r="J22" s="164" t="str">
        <f t="shared" si="6"/>
        <v/>
      </c>
      <c r="K22" s="178"/>
      <c r="L22" s="178"/>
      <c r="M22" s="178"/>
      <c r="N22" s="178"/>
      <c r="O22" s="178"/>
      <c r="P22" s="178"/>
      <c r="Q22" s="178"/>
      <c r="R22" s="178"/>
      <c r="S22" s="178"/>
      <c r="T22" s="178"/>
      <c r="U22" s="178"/>
      <c r="V22" s="178"/>
      <c r="W22" s="178"/>
      <c r="X22" s="178"/>
      <c r="Y22" s="178"/>
      <c r="Z22" s="178"/>
      <c r="AA22" s="178"/>
    </row>
    <row r="23">
      <c r="A23" s="61"/>
      <c r="B23" s="155"/>
      <c r="C23" s="61"/>
      <c r="D23" s="61"/>
      <c r="E23" s="150"/>
      <c r="F23" s="150" t="str">
        <f t="shared" si="5"/>
        <v/>
      </c>
      <c r="G23" s="61"/>
      <c r="H23" s="168" t="str">
        <f t="shared" si="1"/>
        <v/>
      </c>
      <c r="I23" s="168" t="str">
        <f>IF(F23="","",(SUM(G19*F23)))</f>
        <v/>
      </c>
      <c r="J23" s="159" t="str">
        <f t="shared" si="6"/>
        <v/>
      </c>
      <c r="K23" s="178"/>
      <c r="L23" s="178"/>
      <c r="M23" s="178"/>
      <c r="N23" s="178"/>
      <c r="O23" s="178"/>
      <c r="P23" s="178"/>
      <c r="Q23" s="178"/>
      <c r="R23" s="178"/>
      <c r="S23" s="178"/>
      <c r="T23" s="178"/>
      <c r="U23" s="178"/>
      <c r="V23" s="178"/>
      <c r="W23" s="178"/>
      <c r="X23" s="178"/>
      <c r="Y23" s="178"/>
      <c r="Z23" s="178"/>
      <c r="AA23" s="178"/>
    </row>
    <row r="24">
      <c r="A24" s="94"/>
      <c r="B24" s="160"/>
      <c r="C24" s="94"/>
      <c r="D24" s="94"/>
      <c r="E24" s="161"/>
      <c r="F24" s="161" t="str">
        <f t="shared" si="5"/>
        <v/>
      </c>
      <c r="G24" s="94"/>
      <c r="H24" s="166" t="str">
        <f t="shared" si="1"/>
        <v/>
      </c>
      <c r="I24" s="166" t="str">
        <f>IF(F24="","",(SUM(G19*F24)))</f>
        <v/>
      </c>
      <c r="J24" s="164" t="str">
        <f t="shared" si="6"/>
        <v/>
      </c>
      <c r="K24" s="178"/>
      <c r="L24" s="178"/>
      <c r="M24" s="178"/>
      <c r="N24" s="178"/>
      <c r="O24" s="178"/>
      <c r="P24" s="178"/>
      <c r="Q24" s="178"/>
      <c r="R24" s="178"/>
      <c r="S24" s="178"/>
      <c r="T24" s="178"/>
      <c r="U24" s="178"/>
      <c r="V24" s="178"/>
      <c r="W24" s="178"/>
      <c r="X24" s="178"/>
      <c r="Y24" s="178"/>
      <c r="Z24" s="178"/>
      <c r="AA24" s="178"/>
    </row>
    <row r="25">
      <c r="A25" s="61"/>
      <c r="B25" s="155"/>
      <c r="C25" s="61"/>
      <c r="D25" s="61"/>
      <c r="E25" s="150"/>
      <c r="F25" s="150" t="str">
        <f t="shared" si="5"/>
        <v/>
      </c>
      <c r="G25" s="61"/>
      <c r="H25" s="168" t="str">
        <f t="shared" si="1"/>
        <v/>
      </c>
      <c r="I25" s="168" t="str">
        <f>IF(F25="","",(SUM(G19*F25)))</f>
        <v/>
      </c>
      <c r="J25" s="159" t="str">
        <f t="shared" si="6"/>
        <v/>
      </c>
      <c r="K25" s="178"/>
      <c r="L25" s="178"/>
      <c r="M25" s="178"/>
      <c r="N25" s="178"/>
      <c r="O25" s="178"/>
      <c r="P25" s="178"/>
      <c r="Q25" s="178"/>
      <c r="R25" s="178"/>
      <c r="S25" s="178"/>
      <c r="T25" s="178"/>
      <c r="U25" s="178"/>
      <c r="V25" s="178"/>
      <c r="W25" s="178"/>
      <c r="X25" s="178"/>
      <c r="Y25" s="178"/>
      <c r="Z25" s="178"/>
      <c r="AA25" s="178"/>
    </row>
    <row r="26">
      <c r="A26" s="138"/>
      <c r="B26" s="160"/>
      <c r="C26" s="138"/>
      <c r="D26" s="138"/>
      <c r="E26" s="161"/>
      <c r="F26" s="161" t="str">
        <f t="shared" si="5"/>
        <v/>
      </c>
      <c r="G26" s="138"/>
      <c r="H26" s="166" t="str">
        <f t="shared" si="1"/>
        <v/>
      </c>
      <c r="I26" s="166" t="str">
        <f>IF(F26="","",(SUM(G19*F26)))</f>
        <v/>
      </c>
      <c r="J26" s="164" t="str">
        <f t="shared" si="6"/>
        <v/>
      </c>
      <c r="K26" s="178"/>
      <c r="L26" s="178"/>
      <c r="M26" s="178"/>
      <c r="N26" s="178"/>
      <c r="O26" s="178"/>
      <c r="P26" s="178"/>
      <c r="Q26" s="178"/>
      <c r="R26" s="178"/>
      <c r="S26" s="178"/>
      <c r="T26" s="178"/>
      <c r="U26" s="178"/>
      <c r="V26" s="178"/>
      <c r="W26" s="178"/>
      <c r="X26" s="178"/>
      <c r="Y26" s="178"/>
      <c r="Z26" s="178"/>
      <c r="AA26" s="178"/>
    </row>
    <row r="27">
      <c r="A27" s="51">
        <v>1.481041878E9</v>
      </c>
      <c r="B27" s="155">
        <v>45733.0</v>
      </c>
      <c r="C27" s="51" t="s">
        <v>61</v>
      </c>
      <c r="D27" s="51">
        <v>50000.0</v>
      </c>
      <c r="E27" s="150">
        <v>0.0</v>
      </c>
      <c r="F27" s="150">
        <f>D27-E27</f>
        <v>50000</v>
      </c>
      <c r="G27" s="156">
        <v>3550.0</v>
      </c>
      <c r="H27" s="158">
        <f t="shared" si="1"/>
        <v>0</v>
      </c>
      <c r="I27" s="158">
        <f>F27*G27</f>
        <v>177500000</v>
      </c>
      <c r="J27" s="159" t="str">
        <f>IF(OR(D27="",E27=""),"",IF(F27&lt;=0,"Closed","Open"))</f>
        <v>Open</v>
      </c>
      <c r="K27" s="178"/>
      <c r="L27" s="178"/>
      <c r="M27" s="178"/>
      <c r="N27" s="178"/>
      <c r="O27" s="178"/>
      <c r="P27" s="178"/>
      <c r="Q27" s="178"/>
      <c r="R27" s="178"/>
      <c r="S27" s="178"/>
      <c r="T27" s="178"/>
      <c r="U27" s="178"/>
      <c r="V27" s="178"/>
      <c r="W27" s="178"/>
      <c r="X27" s="178"/>
      <c r="Y27" s="178"/>
      <c r="Z27" s="178"/>
      <c r="AA27" s="178"/>
    </row>
    <row r="28">
      <c r="A28" s="94"/>
      <c r="B28" s="160">
        <v>45736.0</v>
      </c>
      <c r="C28" s="94"/>
      <c r="D28" s="94"/>
      <c r="E28" s="161">
        <v>9920.0</v>
      </c>
      <c r="F28" s="161">
        <f t="shared" ref="F28:F34" si="7">IF(E28="","",(SUM(F27-E28)))</f>
        <v>40080</v>
      </c>
      <c r="G28" s="94"/>
      <c r="H28" s="163">
        <f t="shared" si="1"/>
        <v>75888000</v>
      </c>
      <c r="I28" s="163">
        <f>IF(F28="","",(SUM(G27*F28)))</f>
        <v>142284000</v>
      </c>
      <c r="J28" s="164" t="str">
        <f t="shared" ref="J28:J34" si="8">IF(OR(F28="",E28=""),"",IF(F28&lt;=0,"Closed","Open"))</f>
        <v>Open</v>
      </c>
      <c r="K28" s="178"/>
      <c r="L28" s="178"/>
      <c r="M28" s="178"/>
      <c r="N28" s="178"/>
      <c r="O28" s="178"/>
      <c r="P28" s="178"/>
      <c r="Q28" s="178"/>
      <c r="R28" s="178"/>
      <c r="S28" s="178"/>
      <c r="T28" s="178"/>
      <c r="U28" s="178"/>
      <c r="V28" s="178"/>
      <c r="W28" s="178"/>
      <c r="X28" s="178"/>
      <c r="Y28" s="178"/>
      <c r="Z28" s="178"/>
      <c r="AA28" s="178"/>
    </row>
    <row r="29">
      <c r="A29" s="61"/>
      <c r="B29" s="155">
        <v>45737.0</v>
      </c>
      <c r="C29" s="61"/>
      <c r="D29" s="61"/>
      <c r="E29" s="150">
        <v>9820.0</v>
      </c>
      <c r="F29" s="150">
        <f t="shared" si="7"/>
        <v>30260</v>
      </c>
      <c r="G29" s="61"/>
      <c r="H29" s="158">
        <f t="shared" si="1"/>
        <v>75123000</v>
      </c>
      <c r="I29" s="158">
        <f>IF(F29="","",(SUM(G27*F29)))</f>
        <v>107423000</v>
      </c>
      <c r="J29" s="159" t="str">
        <f t="shared" si="8"/>
        <v>Open</v>
      </c>
      <c r="K29" s="178"/>
      <c r="L29" s="178"/>
      <c r="M29" s="178"/>
      <c r="N29" s="178"/>
      <c r="O29" s="178"/>
      <c r="P29" s="178"/>
      <c r="Q29" s="178"/>
      <c r="R29" s="178"/>
      <c r="S29" s="178"/>
      <c r="T29" s="178"/>
      <c r="U29" s="178"/>
      <c r="V29" s="178"/>
      <c r="W29" s="178"/>
      <c r="X29" s="178"/>
      <c r="Y29" s="178"/>
      <c r="Z29" s="178"/>
      <c r="AA29" s="178"/>
    </row>
    <row r="30">
      <c r="A30" s="94"/>
      <c r="B30" s="160">
        <v>45737.0</v>
      </c>
      <c r="C30" s="94"/>
      <c r="D30" s="94"/>
      <c r="E30" s="161">
        <v>9810.0</v>
      </c>
      <c r="F30" s="161">
        <f t="shared" si="7"/>
        <v>20450</v>
      </c>
      <c r="G30" s="94"/>
      <c r="H30" s="163">
        <f t="shared" si="1"/>
        <v>75046500</v>
      </c>
      <c r="I30" s="163">
        <f>IF(F30="","",(SUM(G27*F30)))</f>
        <v>72597500</v>
      </c>
      <c r="J30" s="164" t="str">
        <f t="shared" si="8"/>
        <v>Open</v>
      </c>
      <c r="K30" s="178"/>
      <c r="L30" s="178"/>
      <c r="M30" s="178"/>
      <c r="N30" s="178"/>
      <c r="O30" s="178"/>
      <c r="P30" s="178"/>
      <c r="Q30" s="178"/>
      <c r="R30" s="178"/>
      <c r="S30" s="178"/>
      <c r="T30" s="178"/>
      <c r="U30" s="178"/>
      <c r="V30" s="178"/>
      <c r="W30" s="178"/>
      <c r="X30" s="178"/>
      <c r="Y30" s="178"/>
      <c r="Z30" s="178"/>
      <c r="AA30" s="178"/>
    </row>
    <row r="31">
      <c r="A31" s="61"/>
      <c r="B31" s="155"/>
      <c r="C31" s="61"/>
      <c r="D31" s="61"/>
      <c r="E31" s="150">
        <v>3910.0</v>
      </c>
      <c r="F31" s="150">
        <f t="shared" si="7"/>
        <v>16540</v>
      </c>
      <c r="G31" s="61"/>
      <c r="H31" s="158">
        <f t="shared" si="1"/>
        <v>29911500</v>
      </c>
      <c r="I31" s="158">
        <f>IF(F31="","",(SUM(G27*F31)))</f>
        <v>58717000</v>
      </c>
      <c r="J31" s="159" t="str">
        <f t="shared" si="8"/>
        <v>Open</v>
      </c>
      <c r="K31" s="178"/>
      <c r="L31" s="178"/>
      <c r="M31" s="178"/>
      <c r="N31" s="178"/>
      <c r="O31" s="178"/>
      <c r="P31" s="178"/>
      <c r="Q31" s="178"/>
      <c r="R31" s="178"/>
      <c r="S31" s="178"/>
      <c r="T31" s="178"/>
      <c r="U31" s="178"/>
      <c r="V31" s="178"/>
      <c r="W31" s="178"/>
      <c r="X31" s="178"/>
      <c r="Y31" s="178"/>
      <c r="Z31" s="178"/>
      <c r="AA31" s="178"/>
    </row>
    <row r="32">
      <c r="A32" s="94"/>
      <c r="B32" s="160">
        <v>45741.0</v>
      </c>
      <c r="C32" s="94"/>
      <c r="D32" s="94"/>
      <c r="E32" s="161">
        <v>8070.0</v>
      </c>
      <c r="F32" s="161">
        <f t="shared" si="7"/>
        <v>8470</v>
      </c>
      <c r="G32" s="94"/>
      <c r="H32" s="163">
        <f t="shared" si="1"/>
        <v>61735500</v>
      </c>
      <c r="I32" s="163">
        <f>IF(F32="","",(SUM(G27*F32)))</f>
        <v>30068500</v>
      </c>
      <c r="J32" s="164" t="str">
        <f t="shared" si="8"/>
        <v>Open</v>
      </c>
      <c r="K32" s="178"/>
      <c r="L32" s="178"/>
      <c r="M32" s="178"/>
      <c r="N32" s="178"/>
      <c r="O32" s="178"/>
      <c r="P32" s="178"/>
      <c r="Q32" s="178"/>
      <c r="R32" s="178"/>
      <c r="S32" s="178"/>
      <c r="T32" s="178"/>
      <c r="U32" s="178"/>
      <c r="V32" s="178"/>
      <c r="W32" s="178"/>
      <c r="X32" s="178"/>
      <c r="Y32" s="178"/>
      <c r="Z32" s="178"/>
      <c r="AA32" s="178"/>
    </row>
    <row r="33">
      <c r="A33" s="61"/>
      <c r="B33" s="155">
        <v>45743.0</v>
      </c>
      <c r="C33" s="61"/>
      <c r="D33" s="61"/>
      <c r="E33" s="150">
        <v>10390.0</v>
      </c>
      <c r="F33" s="150">
        <f t="shared" si="7"/>
        <v>-1920</v>
      </c>
      <c r="G33" s="61"/>
      <c r="H33" s="158">
        <f t="shared" si="1"/>
        <v>79483500</v>
      </c>
      <c r="I33" s="158">
        <f>IF(F33="","",(SUM(G27*F33)))</f>
        <v>-6816000</v>
      </c>
      <c r="J33" s="159" t="str">
        <f t="shared" si="8"/>
        <v>Closed</v>
      </c>
      <c r="K33" s="178"/>
      <c r="L33" s="178"/>
      <c r="M33" s="178"/>
      <c r="N33" s="178"/>
      <c r="O33" s="178"/>
      <c r="P33" s="178"/>
      <c r="Q33" s="178"/>
      <c r="R33" s="178"/>
      <c r="S33" s="178"/>
      <c r="T33" s="178"/>
      <c r="U33" s="178"/>
      <c r="V33" s="178"/>
      <c r="W33" s="178"/>
      <c r="X33" s="178"/>
      <c r="Y33" s="178"/>
      <c r="Z33" s="178"/>
      <c r="AA33" s="178"/>
    </row>
    <row r="34">
      <c r="A34" s="138"/>
      <c r="B34" s="160"/>
      <c r="C34" s="138"/>
      <c r="D34" s="138"/>
      <c r="E34" s="161"/>
      <c r="F34" s="161" t="str">
        <f t="shared" si="7"/>
        <v/>
      </c>
      <c r="G34" s="138"/>
      <c r="H34" s="166" t="str">
        <f t="shared" si="1"/>
        <v/>
      </c>
      <c r="I34" s="166" t="str">
        <f>IF(F34="","",(SUM(G27*F34)))</f>
        <v/>
      </c>
      <c r="J34" s="164" t="str">
        <f t="shared" si="8"/>
        <v/>
      </c>
      <c r="K34" s="178"/>
      <c r="L34" s="178"/>
      <c r="M34" s="178"/>
      <c r="N34" s="178"/>
      <c r="O34" s="178"/>
      <c r="P34" s="178"/>
      <c r="Q34" s="178"/>
      <c r="R34" s="178"/>
      <c r="S34" s="178"/>
      <c r="T34" s="178"/>
      <c r="U34" s="178"/>
      <c r="V34" s="178"/>
      <c r="W34" s="178"/>
      <c r="X34" s="178"/>
      <c r="Y34" s="178"/>
      <c r="Z34" s="178"/>
      <c r="AA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row>
    <row r="36">
      <c r="A36" s="239" t="s">
        <v>197</v>
      </c>
      <c r="K36" s="178"/>
      <c r="L36" s="178"/>
      <c r="M36" s="178"/>
      <c r="N36" s="178"/>
      <c r="O36" s="178"/>
      <c r="P36" s="178"/>
      <c r="Q36" s="178"/>
      <c r="R36" s="178"/>
      <c r="S36" s="178"/>
      <c r="T36" s="178"/>
      <c r="U36" s="178"/>
      <c r="V36" s="178"/>
      <c r="W36" s="178"/>
      <c r="X36" s="178"/>
      <c r="Y36" s="178"/>
      <c r="Z36" s="178"/>
      <c r="AA36" s="178"/>
    </row>
    <row r="37">
      <c r="A37" s="152" t="s">
        <v>146</v>
      </c>
      <c r="B37" s="153" t="s">
        <v>147</v>
      </c>
      <c r="C37" s="152" t="s">
        <v>148</v>
      </c>
      <c r="D37" s="152" t="s">
        <v>149</v>
      </c>
      <c r="E37" s="153" t="s">
        <v>150</v>
      </c>
      <c r="F37" s="154" t="s">
        <v>112</v>
      </c>
      <c r="G37" s="153" t="s">
        <v>151</v>
      </c>
      <c r="H37" s="153" t="s">
        <v>198</v>
      </c>
      <c r="I37" s="153" t="s">
        <v>153</v>
      </c>
      <c r="J37" s="153" t="s">
        <v>154</v>
      </c>
      <c r="K37" s="178"/>
      <c r="L37" s="178"/>
      <c r="M37" s="178"/>
      <c r="N37" s="178"/>
      <c r="O37" s="178"/>
      <c r="P37" s="178"/>
      <c r="Q37" s="178"/>
      <c r="R37" s="178"/>
      <c r="S37" s="178"/>
      <c r="T37" s="178"/>
      <c r="U37" s="178"/>
      <c r="V37" s="178"/>
      <c r="W37" s="178"/>
      <c r="X37" s="178"/>
      <c r="Y37" s="178"/>
      <c r="Z37" s="178"/>
      <c r="AA37" s="178"/>
    </row>
    <row r="38">
      <c r="A38" s="240">
        <v>1.481042142E9</v>
      </c>
      <c r="B38" s="241">
        <v>45755.0</v>
      </c>
      <c r="C38" s="51" t="s">
        <v>61</v>
      </c>
      <c r="D38" s="51">
        <v>50000.0</v>
      </c>
      <c r="E38" s="150">
        <v>0.0</v>
      </c>
      <c r="F38" s="150">
        <f>D38-E38</f>
        <v>50000</v>
      </c>
      <c r="G38" s="242">
        <v>3400.0</v>
      </c>
      <c r="H38" s="158">
        <f>IF(E38="","",(SUM($G$3*E38)))</f>
        <v>0</v>
      </c>
      <c r="I38" s="158">
        <f>F38*G38</f>
        <v>170000000</v>
      </c>
      <c r="J38" s="159" t="str">
        <f>IF(OR(D38="",E38=""),"",IF(F38&lt;=0,"Closed","Open"))</f>
        <v>Open</v>
      </c>
      <c r="K38" s="178"/>
      <c r="L38" s="178"/>
      <c r="M38" s="178"/>
      <c r="N38" s="178"/>
      <c r="O38" s="178"/>
      <c r="P38" s="178"/>
      <c r="Q38" s="178"/>
      <c r="R38" s="178"/>
      <c r="S38" s="178"/>
      <c r="T38" s="178"/>
      <c r="U38" s="178"/>
      <c r="V38" s="178"/>
      <c r="W38" s="178"/>
      <c r="X38" s="178"/>
      <c r="Y38" s="178"/>
      <c r="Z38" s="178"/>
      <c r="AA38" s="178"/>
    </row>
    <row r="39">
      <c r="A39" s="94"/>
      <c r="B39" s="243">
        <v>45761.0</v>
      </c>
      <c r="C39" s="94"/>
      <c r="D39" s="94"/>
      <c r="E39" s="161">
        <v>9550.0</v>
      </c>
      <c r="F39" s="161">
        <f t="shared" ref="F39:F45" si="9">IF(E39="","",(SUM(F38-E39)))</f>
        <v>40450</v>
      </c>
      <c r="G39" s="94"/>
      <c r="H39" s="163">
        <f>IF(E39="","",(SUM(3200*E39)))</f>
        <v>30560000</v>
      </c>
      <c r="I39" s="163">
        <f>IF(F39="","",(SUM(G38*F39)))</f>
        <v>137530000</v>
      </c>
      <c r="J39" s="164" t="str">
        <f t="shared" ref="J39:J45" si="10">IF(OR(F39="",E39=""),"",IF(F39&lt;=0,"Closed","Open"))</f>
        <v>Open</v>
      </c>
      <c r="K39" s="178"/>
      <c r="L39" s="178"/>
      <c r="M39" s="178"/>
      <c r="N39" s="178"/>
      <c r="O39" s="178"/>
      <c r="P39" s="178"/>
      <c r="Q39" s="178"/>
      <c r="R39" s="178"/>
      <c r="S39" s="178"/>
      <c r="T39" s="178"/>
      <c r="U39" s="178"/>
      <c r="V39" s="178"/>
      <c r="W39" s="178"/>
      <c r="X39" s="178"/>
      <c r="Y39" s="178"/>
      <c r="Z39" s="178"/>
      <c r="AA39" s="178"/>
    </row>
    <row r="40">
      <c r="A40" s="61"/>
      <c r="B40" s="241"/>
      <c r="C40" s="61"/>
      <c r="D40" s="61"/>
      <c r="E40" s="150"/>
      <c r="F40" s="150" t="str">
        <f t="shared" si="9"/>
        <v/>
      </c>
      <c r="G40" s="61"/>
      <c r="H40" s="168" t="str">
        <f t="shared" ref="H40:H45" si="11">IF(E40="","",(SUM($G$3*E40)))</f>
        <v/>
      </c>
      <c r="I40" s="168" t="str">
        <f>IF(F40="","",(SUM(G38*F40)))</f>
        <v/>
      </c>
      <c r="J40" s="159" t="str">
        <f t="shared" si="10"/>
        <v/>
      </c>
      <c r="K40" s="178"/>
      <c r="L40" s="178"/>
      <c r="M40" s="178"/>
      <c r="N40" s="178"/>
      <c r="O40" s="178"/>
      <c r="P40" s="178"/>
      <c r="Q40" s="178"/>
      <c r="R40" s="178"/>
      <c r="S40" s="178"/>
      <c r="T40" s="178"/>
      <c r="U40" s="178"/>
      <c r="V40" s="178"/>
      <c r="W40" s="178"/>
      <c r="X40" s="178"/>
      <c r="Y40" s="178"/>
      <c r="Z40" s="178"/>
      <c r="AA40" s="178"/>
    </row>
    <row r="41">
      <c r="A41" s="94"/>
      <c r="B41" s="243"/>
      <c r="C41" s="94"/>
      <c r="D41" s="94"/>
      <c r="E41" s="161"/>
      <c r="F41" s="161" t="str">
        <f t="shared" si="9"/>
        <v/>
      </c>
      <c r="G41" s="94"/>
      <c r="H41" s="166" t="str">
        <f t="shared" si="11"/>
        <v/>
      </c>
      <c r="I41" s="166" t="str">
        <f>IF(F41="","",(SUM(G38*F41)))</f>
        <v/>
      </c>
      <c r="J41" s="164" t="str">
        <f t="shared" si="10"/>
        <v/>
      </c>
      <c r="K41" s="178"/>
      <c r="L41" s="178"/>
      <c r="M41" s="178"/>
      <c r="N41" s="178"/>
      <c r="O41" s="178"/>
      <c r="P41" s="178"/>
      <c r="Q41" s="178"/>
      <c r="R41" s="178"/>
      <c r="S41" s="178"/>
      <c r="T41" s="178"/>
      <c r="U41" s="178"/>
      <c r="V41" s="178"/>
      <c r="W41" s="178"/>
      <c r="X41" s="178"/>
      <c r="Y41" s="178"/>
      <c r="Z41" s="178"/>
      <c r="AA41" s="178"/>
    </row>
    <row r="42">
      <c r="A42" s="61"/>
      <c r="B42" s="241"/>
      <c r="C42" s="61"/>
      <c r="D42" s="61"/>
      <c r="E42" s="150"/>
      <c r="F42" s="150" t="str">
        <f t="shared" si="9"/>
        <v/>
      </c>
      <c r="G42" s="61"/>
      <c r="H42" s="168" t="str">
        <f t="shared" si="11"/>
        <v/>
      </c>
      <c r="I42" s="168" t="str">
        <f>IF(F42="","",(SUM(G38*F42)))</f>
        <v/>
      </c>
      <c r="J42" s="159" t="str">
        <f t="shared" si="10"/>
        <v/>
      </c>
      <c r="K42" s="178"/>
      <c r="L42" s="178"/>
      <c r="M42" s="178"/>
      <c r="N42" s="178"/>
      <c r="O42" s="178"/>
      <c r="P42" s="178"/>
      <c r="Q42" s="178"/>
      <c r="R42" s="178"/>
      <c r="S42" s="178"/>
      <c r="T42" s="178"/>
      <c r="U42" s="178"/>
      <c r="V42" s="178"/>
      <c r="W42" s="178"/>
      <c r="X42" s="178"/>
      <c r="Y42" s="178"/>
      <c r="Z42" s="178"/>
      <c r="AA42" s="178"/>
    </row>
    <row r="43">
      <c r="A43" s="94"/>
      <c r="B43" s="243"/>
      <c r="C43" s="94"/>
      <c r="D43" s="94"/>
      <c r="E43" s="161"/>
      <c r="F43" s="161" t="str">
        <f t="shared" si="9"/>
        <v/>
      </c>
      <c r="G43" s="94"/>
      <c r="H43" s="166" t="str">
        <f t="shared" si="11"/>
        <v/>
      </c>
      <c r="I43" s="166" t="str">
        <f>IF(F43="","",(SUM(G38*F43)))</f>
        <v/>
      </c>
      <c r="J43" s="164" t="str">
        <f t="shared" si="10"/>
        <v/>
      </c>
      <c r="K43" s="178"/>
      <c r="L43" s="178"/>
      <c r="M43" s="178"/>
      <c r="N43" s="178"/>
      <c r="O43" s="178"/>
      <c r="P43" s="178"/>
      <c r="Q43" s="178"/>
      <c r="R43" s="178"/>
      <c r="S43" s="178"/>
      <c r="T43" s="178"/>
      <c r="U43" s="178"/>
      <c r="V43" s="178"/>
      <c r="W43" s="178"/>
      <c r="X43" s="178"/>
      <c r="Y43" s="178"/>
      <c r="Z43" s="178"/>
      <c r="AA43" s="178"/>
    </row>
    <row r="44">
      <c r="A44" s="61"/>
      <c r="B44" s="241"/>
      <c r="C44" s="61"/>
      <c r="D44" s="61"/>
      <c r="E44" s="150"/>
      <c r="F44" s="150" t="str">
        <f t="shared" si="9"/>
        <v/>
      </c>
      <c r="G44" s="61"/>
      <c r="H44" s="168" t="str">
        <f t="shared" si="11"/>
        <v/>
      </c>
      <c r="I44" s="168" t="str">
        <f>IF(F44="","",(SUM(G38*F44)))</f>
        <v/>
      </c>
      <c r="J44" s="159" t="str">
        <f t="shared" si="10"/>
        <v/>
      </c>
      <c r="K44" s="178"/>
      <c r="L44" s="178"/>
      <c r="M44" s="178"/>
      <c r="N44" s="178"/>
      <c r="O44" s="178"/>
      <c r="P44" s="178"/>
      <c r="Q44" s="178"/>
      <c r="R44" s="178"/>
      <c r="S44" s="178"/>
      <c r="T44" s="178"/>
      <c r="U44" s="178"/>
      <c r="V44" s="178"/>
      <c r="W44" s="178"/>
      <c r="X44" s="178"/>
      <c r="Y44" s="178"/>
      <c r="Z44" s="178"/>
      <c r="AA44" s="178"/>
    </row>
    <row r="45">
      <c r="A45" s="138"/>
      <c r="B45" s="243"/>
      <c r="C45" s="138"/>
      <c r="D45" s="138"/>
      <c r="E45" s="161"/>
      <c r="F45" s="161" t="str">
        <f t="shared" si="9"/>
        <v/>
      </c>
      <c r="G45" s="138"/>
      <c r="H45" s="166" t="str">
        <f t="shared" si="11"/>
        <v/>
      </c>
      <c r="I45" s="166" t="str">
        <f>IF(F45="","",(SUM(G38*F45)))</f>
        <v/>
      </c>
      <c r="J45" s="164" t="str">
        <f t="shared" si="10"/>
        <v/>
      </c>
      <c r="K45" s="178"/>
      <c r="L45" s="178"/>
      <c r="M45" s="178"/>
      <c r="N45" s="178"/>
      <c r="O45" s="178"/>
      <c r="P45" s="178"/>
      <c r="Q45" s="178"/>
      <c r="R45" s="178"/>
      <c r="S45" s="178"/>
      <c r="T45" s="178"/>
      <c r="U45" s="178"/>
      <c r="V45" s="178"/>
      <c r="W45" s="178"/>
      <c r="X45" s="178"/>
      <c r="Y45" s="178"/>
      <c r="Z45" s="178"/>
      <c r="AA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row>
    <row r="48">
      <c r="A48" s="152" t="s">
        <v>146</v>
      </c>
      <c r="B48" s="153" t="s">
        <v>147</v>
      </c>
      <c r="C48" s="152" t="s">
        <v>148</v>
      </c>
      <c r="D48" s="152" t="s">
        <v>149</v>
      </c>
      <c r="E48" s="153" t="s">
        <v>150</v>
      </c>
      <c r="F48" s="154" t="s">
        <v>112</v>
      </c>
      <c r="G48" s="153" t="s">
        <v>151</v>
      </c>
      <c r="H48" s="153" t="s">
        <v>198</v>
      </c>
      <c r="I48" s="153" t="s">
        <v>153</v>
      </c>
      <c r="J48" s="153" t="s">
        <v>154</v>
      </c>
      <c r="K48" s="178"/>
      <c r="L48" s="178"/>
      <c r="M48" s="178"/>
      <c r="N48" s="178"/>
      <c r="O48" s="178"/>
      <c r="P48" s="178"/>
      <c r="Q48" s="178"/>
      <c r="R48" s="178"/>
      <c r="S48" s="178"/>
      <c r="T48" s="178"/>
      <c r="U48" s="178"/>
      <c r="V48" s="178"/>
      <c r="W48" s="178"/>
      <c r="X48" s="178"/>
      <c r="Y48" s="178"/>
      <c r="Z48" s="178"/>
      <c r="AA48" s="178"/>
    </row>
    <row r="49">
      <c r="A49" s="240">
        <v>1.601015936E9</v>
      </c>
      <c r="B49" s="241">
        <v>45799.0</v>
      </c>
      <c r="C49" s="51" t="s">
        <v>76</v>
      </c>
      <c r="D49" s="51">
        <v>30000.0</v>
      </c>
      <c r="E49" s="150">
        <v>0.0</v>
      </c>
      <c r="F49" s="150">
        <f>D49-E49</f>
        <v>30000</v>
      </c>
      <c r="G49" s="242">
        <v>5500.0</v>
      </c>
      <c r="H49" s="158">
        <f>IF(E49="","",(SUM($G$3*E49)))</f>
        <v>0</v>
      </c>
      <c r="I49" s="158">
        <f>F49*G49</f>
        <v>165000000</v>
      </c>
      <c r="J49" s="159" t="str">
        <f>IF(OR(D49="",E49=""),"",IF(F49&lt;=0,"Closed","Open"))</f>
        <v>Open</v>
      </c>
      <c r="K49" s="178"/>
      <c r="L49" s="178"/>
      <c r="M49" s="178"/>
      <c r="N49" s="178"/>
      <c r="O49" s="178"/>
      <c r="P49" s="178"/>
      <c r="Q49" s="178"/>
      <c r="R49" s="178"/>
      <c r="S49" s="178"/>
      <c r="T49" s="178"/>
      <c r="U49" s="178"/>
      <c r="V49" s="178"/>
      <c r="W49" s="178"/>
      <c r="X49" s="178"/>
      <c r="Y49" s="178"/>
      <c r="Z49" s="178"/>
      <c r="AA49" s="178"/>
    </row>
    <row r="50">
      <c r="A50" s="94"/>
      <c r="B50" s="243"/>
      <c r="C50" s="94"/>
      <c r="D50" s="94"/>
      <c r="E50" s="161"/>
      <c r="F50" s="161" t="str">
        <f t="shared" ref="F50:F56" si="12">IF(E50="","",(SUM(F49-E50)))</f>
        <v/>
      </c>
      <c r="G50" s="94"/>
      <c r="H50" s="163" t="str">
        <f>IF(E50="","",(SUM(3200*E50)))</f>
        <v/>
      </c>
      <c r="I50" s="166" t="str">
        <f>IF(F50="","",(SUM(G49*F50)))</f>
        <v/>
      </c>
      <c r="J50" s="164" t="str">
        <f t="shared" ref="J50:J56" si="13">IF(OR(F50="",E50=""),"",IF(F50&lt;=0,"Closed","Open"))</f>
        <v/>
      </c>
      <c r="K50" s="178"/>
      <c r="L50" s="178"/>
      <c r="M50" s="178"/>
      <c r="N50" s="178"/>
      <c r="O50" s="178"/>
      <c r="P50" s="178"/>
      <c r="Q50" s="178"/>
      <c r="R50" s="178"/>
      <c r="S50" s="178"/>
      <c r="T50" s="178"/>
      <c r="U50" s="178"/>
      <c r="V50" s="178"/>
      <c r="W50" s="178"/>
      <c r="X50" s="178"/>
      <c r="Y50" s="178"/>
      <c r="Z50" s="178"/>
      <c r="AA50" s="178"/>
    </row>
    <row r="51">
      <c r="A51" s="61"/>
      <c r="B51" s="241"/>
      <c r="C51" s="61"/>
      <c r="D51" s="61"/>
      <c r="E51" s="150"/>
      <c r="F51" s="150" t="str">
        <f t="shared" si="12"/>
        <v/>
      </c>
      <c r="G51" s="61"/>
      <c r="H51" s="168" t="str">
        <f t="shared" ref="H51:H56" si="14">IF(E51="","",(SUM($G$3*E51)))</f>
        <v/>
      </c>
      <c r="I51" s="168" t="str">
        <f>IF(F51="","",(SUM(G49*F51)))</f>
        <v/>
      </c>
      <c r="J51" s="159" t="str">
        <f t="shared" si="13"/>
        <v/>
      </c>
      <c r="K51" s="178"/>
      <c r="L51" s="178"/>
      <c r="M51" s="178"/>
      <c r="N51" s="178"/>
      <c r="O51" s="178"/>
      <c r="P51" s="178"/>
      <c r="Q51" s="178"/>
      <c r="R51" s="178"/>
      <c r="S51" s="178"/>
      <c r="T51" s="178"/>
      <c r="U51" s="178"/>
      <c r="V51" s="178"/>
      <c r="W51" s="178"/>
      <c r="X51" s="178"/>
      <c r="Y51" s="178"/>
      <c r="Z51" s="178"/>
      <c r="AA51" s="178"/>
    </row>
    <row r="52">
      <c r="A52" s="94"/>
      <c r="B52" s="243"/>
      <c r="C52" s="94"/>
      <c r="D52" s="94"/>
      <c r="E52" s="161"/>
      <c r="F52" s="161" t="str">
        <f t="shared" si="12"/>
        <v/>
      </c>
      <c r="G52" s="94"/>
      <c r="H52" s="166" t="str">
        <f t="shared" si="14"/>
        <v/>
      </c>
      <c r="I52" s="166" t="str">
        <f>IF(F52="","",(SUM(G49*F52)))</f>
        <v/>
      </c>
      <c r="J52" s="164" t="str">
        <f t="shared" si="13"/>
        <v/>
      </c>
      <c r="K52" s="178"/>
      <c r="L52" s="178"/>
      <c r="M52" s="178"/>
      <c r="N52" s="178"/>
      <c r="O52" s="178"/>
      <c r="P52" s="178"/>
      <c r="Q52" s="178"/>
      <c r="R52" s="178"/>
      <c r="S52" s="178"/>
      <c r="T52" s="178"/>
      <c r="U52" s="178"/>
      <c r="V52" s="178"/>
      <c r="W52" s="178"/>
      <c r="X52" s="178"/>
      <c r="Y52" s="178"/>
      <c r="Z52" s="178"/>
      <c r="AA52" s="178"/>
    </row>
    <row r="53">
      <c r="A53" s="61"/>
      <c r="B53" s="241"/>
      <c r="C53" s="61"/>
      <c r="D53" s="61"/>
      <c r="E53" s="150"/>
      <c r="F53" s="150" t="str">
        <f t="shared" si="12"/>
        <v/>
      </c>
      <c r="G53" s="61"/>
      <c r="H53" s="168" t="str">
        <f t="shared" si="14"/>
        <v/>
      </c>
      <c r="I53" s="168" t="str">
        <f>IF(F53="","",(SUM(G49*F53)))</f>
        <v/>
      </c>
      <c r="J53" s="159" t="str">
        <f t="shared" si="13"/>
        <v/>
      </c>
      <c r="K53" s="178"/>
      <c r="L53" s="178"/>
      <c r="M53" s="178"/>
      <c r="N53" s="178"/>
      <c r="O53" s="178"/>
      <c r="P53" s="178"/>
      <c r="Q53" s="178"/>
      <c r="R53" s="178"/>
      <c r="S53" s="178"/>
      <c r="T53" s="178"/>
      <c r="U53" s="178"/>
      <c r="V53" s="178"/>
      <c r="W53" s="178"/>
      <c r="X53" s="178"/>
      <c r="Y53" s="178"/>
      <c r="Z53" s="178"/>
      <c r="AA53" s="178"/>
    </row>
    <row r="54">
      <c r="A54" s="94"/>
      <c r="B54" s="243"/>
      <c r="C54" s="94"/>
      <c r="D54" s="94"/>
      <c r="E54" s="161"/>
      <c r="F54" s="161" t="str">
        <f t="shared" si="12"/>
        <v/>
      </c>
      <c r="G54" s="94"/>
      <c r="H54" s="166" t="str">
        <f t="shared" si="14"/>
        <v/>
      </c>
      <c r="I54" s="166" t="str">
        <f>IF(F54="","",(SUM(G49*F54)))</f>
        <v/>
      </c>
      <c r="J54" s="164" t="str">
        <f t="shared" si="13"/>
        <v/>
      </c>
      <c r="K54" s="178"/>
      <c r="L54" s="178"/>
      <c r="M54" s="178"/>
      <c r="N54" s="178"/>
      <c r="O54" s="178"/>
      <c r="P54" s="178"/>
      <c r="Q54" s="178"/>
      <c r="R54" s="178"/>
      <c r="S54" s="178"/>
      <c r="T54" s="178"/>
      <c r="U54" s="178"/>
      <c r="V54" s="178"/>
      <c r="W54" s="178"/>
      <c r="X54" s="178"/>
      <c r="Y54" s="178"/>
      <c r="Z54" s="178"/>
      <c r="AA54" s="178"/>
    </row>
    <row r="55">
      <c r="A55" s="61"/>
      <c r="B55" s="241"/>
      <c r="C55" s="61"/>
      <c r="D55" s="61"/>
      <c r="E55" s="150"/>
      <c r="F55" s="150" t="str">
        <f t="shared" si="12"/>
        <v/>
      </c>
      <c r="G55" s="61"/>
      <c r="H55" s="168" t="str">
        <f t="shared" si="14"/>
        <v/>
      </c>
      <c r="I55" s="168" t="str">
        <f>IF(F55="","",(SUM(G49*F55)))</f>
        <v/>
      </c>
      <c r="J55" s="159" t="str">
        <f t="shared" si="13"/>
        <v/>
      </c>
      <c r="K55" s="178"/>
      <c r="L55" s="178"/>
      <c r="M55" s="178"/>
      <c r="N55" s="178"/>
      <c r="O55" s="178"/>
      <c r="P55" s="178"/>
      <c r="Q55" s="178"/>
      <c r="R55" s="178"/>
      <c r="S55" s="178"/>
      <c r="T55" s="178"/>
      <c r="U55" s="178"/>
      <c r="V55" s="178"/>
      <c r="W55" s="178"/>
      <c r="X55" s="178"/>
      <c r="Y55" s="178"/>
      <c r="Z55" s="178"/>
      <c r="AA55" s="178"/>
    </row>
    <row r="56">
      <c r="A56" s="138"/>
      <c r="B56" s="243"/>
      <c r="C56" s="138"/>
      <c r="D56" s="138"/>
      <c r="E56" s="161"/>
      <c r="F56" s="161" t="str">
        <f t="shared" si="12"/>
        <v/>
      </c>
      <c r="G56" s="138"/>
      <c r="H56" s="166" t="str">
        <f t="shared" si="14"/>
        <v/>
      </c>
      <c r="I56" s="166" t="str">
        <f>IF(F56="","",(SUM(G49*F56)))</f>
        <v/>
      </c>
      <c r="J56" s="164" t="str">
        <f t="shared" si="13"/>
        <v/>
      </c>
      <c r="K56" s="178"/>
      <c r="L56" s="178"/>
      <c r="M56" s="178"/>
      <c r="N56" s="178"/>
      <c r="O56" s="178"/>
      <c r="P56" s="178"/>
      <c r="Q56" s="178"/>
      <c r="R56" s="178"/>
      <c r="S56" s="178"/>
      <c r="T56" s="178"/>
      <c r="U56" s="178"/>
      <c r="V56" s="178"/>
      <c r="W56" s="178"/>
      <c r="X56" s="178"/>
      <c r="Y56" s="178"/>
      <c r="Z56" s="178"/>
      <c r="AA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row>
  </sheetData>
  <mergeCells count="26">
    <mergeCell ref="G3:G10"/>
    <mergeCell ref="G11:G18"/>
    <mergeCell ref="G27:G34"/>
    <mergeCell ref="G38:G45"/>
    <mergeCell ref="G49:G56"/>
    <mergeCell ref="D19:D26"/>
    <mergeCell ref="G19:G26"/>
    <mergeCell ref="A1:J1"/>
    <mergeCell ref="A3:A10"/>
    <mergeCell ref="C3:C10"/>
    <mergeCell ref="D3:D10"/>
    <mergeCell ref="A11:A18"/>
    <mergeCell ref="D11:D18"/>
    <mergeCell ref="A19:A26"/>
    <mergeCell ref="A36:J36"/>
    <mergeCell ref="A38:A45"/>
    <mergeCell ref="A49:A56"/>
    <mergeCell ref="C49:C56"/>
    <mergeCell ref="D49:D56"/>
    <mergeCell ref="C11:C18"/>
    <mergeCell ref="C19:C26"/>
    <mergeCell ref="A27:A34"/>
    <mergeCell ref="C27:C34"/>
    <mergeCell ref="D27:D34"/>
    <mergeCell ref="C38:C45"/>
    <mergeCell ref="D38:D45"/>
  </mergeCells>
  <conditionalFormatting sqref="H3:J34 H38:J45 H49:J56">
    <cfRule type="cellIs" dxfId="6" priority="1" operator="equal">
      <formula>"Open"</formula>
    </cfRule>
  </conditionalFormatting>
  <conditionalFormatting sqref="H3:J34 H38:J45 H49:J56">
    <cfRule type="cellIs" dxfId="7" priority="2" operator="equal">
      <formula>"Closed"</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9" width="15.13"/>
  </cols>
  <sheetData>
    <row r="1">
      <c r="A1" s="39" t="s">
        <v>199</v>
      </c>
      <c r="K1" s="182"/>
      <c r="L1" s="182"/>
      <c r="M1" s="182"/>
      <c r="N1" s="182"/>
      <c r="O1" s="182"/>
      <c r="P1" s="182"/>
      <c r="Q1" s="182"/>
      <c r="R1" s="182"/>
      <c r="S1" s="182"/>
      <c r="T1" s="182"/>
      <c r="U1" s="182"/>
      <c r="V1" s="182"/>
      <c r="W1" s="182"/>
      <c r="X1" s="182"/>
      <c r="Y1" s="182"/>
      <c r="Z1" s="182"/>
      <c r="AA1" s="183"/>
    </row>
    <row r="2">
      <c r="A2" s="152" t="s">
        <v>146</v>
      </c>
      <c r="B2" s="153" t="s">
        <v>147</v>
      </c>
      <c r="C2" s="152" t="s">
        <v>148</v>
      </c>
      <c r="D2" s="152" t="s">
        <v>149</v>
      </c>
      <c r="E2" s="153" t="s">
        <v>150</v>
      </c>
      <c r="F2" s="154" t="s">
        <v>112</v>
      </c>
      <c r="G2" s="153" t="s">
        <v>151</v>
      </c>
      <c r="H2" s="153" t="s">
        <v>200</v>
      </c>
      <c r="I2" s="153" t="s">
        <v>113</v>
      </c>
      <c r="J2" s="153" t="s">
        <v>154</v>
      </c>
      <c r="K2" s="178"/>
      <c r="L2" s="178"/>
      <c r="M2" s="178"/>
      <c r="N2" s="178"/>
      <c r="O2" s="178"/>
      <c r="P2" s="178"/>
      <c r="Q2" s="178"/>
      <c r="R2" s="178"/>
      <c r="S2" s="178"/>
      <c r="T2" s="178"/>
      <c r="U2" s="178"/>
      <c r="V2" s="178"/>
      <c r="W2" s="178"/>
      <c r="X2" s="178"/>
      <c r="Y2" s="178"/>
      <c r="Z2" s="178"/>
      <c r="AA2" s="188"/>
    </row>
    <row r="3">
      <c r="A3" s="51">
        <v>329324.0</v>
      </c>
      <c r="B3" s="155">
        <v>45731.0</v>
      </c>
      <c r="C3" s="51" t="s">
        <v>133</v>
      </c>
      <c r="D3" s="51">
        <v>82670.0</v>
      </c>
      <c r="E3" s="150">
        <v>0.0</v>
      </c>
      <c r="F3" s="150">
        <f>D3-E3</f>
        <v>82670</v>
      </c>
      <c r="G3" s="156">
        <v>7600.0</v>
      </c>
      <c r="H3" s="158">
        <f t="shared" ref="H3:H10" si="1">IF(E3="","",(SUM($G$3*E3)))</f>
        <v>0</v>
      </c>
      <c r="I3" s="158">
        <f>F3*G3</f>
        <v>628292000</v>
      </c>
      <c r="J3" s="159" t="str">
        <f>IF(OR(D3="",E3=""),"",IF(F3&lt;=0,"Closed","Open"))</f>
        <v>Open</v>
      </c>
      <c r="K3" s="178"/>
      <c r="L3" s="178"/>
      <c r="M3" s="178"/>
      <c r="N3" s="178"/>
      <c r="O3" s="178"/>
      <c r="P3" s="178"/>
      <c r="Q3" s="178"/>
      <c r="R3" s="178"/>
      <c r="S3" s="178"/>
      <c r="T3" s="178"/>
      <c r="U3" s="178"/>
      <c r="V3" s="178"/>
      <c r="W3" s="178"/>
      <c r="X3" s="178"/>
      <c r="Y3" s="178"/>
      <c r="Z3" s="178"/>
      <c r="AA3" s="188"/>
    </row>
    <row r="4">
      <c r="A4" s="94"/>
      <c r="B4" s="160"/>
      <c r="C4" s="94"/>
      <c r="D4" s="94"/>
      <c r="E4" s="161"/>
      <c r="F4" s="161"/>
      <c r="G4" s="94"/>
      <c r="H4" s="166" t="str">
        <f t="shared" si="1"/>
        <v/>
      </c>
      <c r="I4" s="166" t="str">
        <f>IF(F4="","",(SUM(G3*F4)))</f>
        <v/>
      </c>
      <c r="J4" s="164" t="str">
        <f t="shared" ref="J4:J10" si="2">IF(OR(F4="",E4=""),"",IF(F4&lt;=0,"Closed","Open"))</f>
        <v/>
      </c>
      <c r="K4" s="178"/>
      <c r="L4" s="178"/>
      <c r="M4" s="178"/>
      <c r="N4" s="178"/>
      <c r="O4" s="178"/>
      <c r="P4" s="178"/>
      <c r="Q4" s="178"/>
      <c r="R4" s="178"/>
      <c r="S4" s="178"/>
      <c r="T4" s="178"/>
      <c r="U4" s="178"/>
      <c r="V4" s="178"/>
      <c r="W4" s="178"/>
      <c r="X4" s="178"/>
      <c r="Y4" s="178"/>
      <c r="Z4" s="178"/>
      <c r="AA4" s="188"/>
    </row>
    <row r="5">
      <c r="A5" s="61"/>
      <c r="B5" s="155"/>
      <c r="C5" s="61"/>
      <c r="D5" s="61"/>
      <c r="E5" s="150"/>
      <c r="F5" s="150"/>
      <c r="G5" s="61"/>
      <c r="H5" s="168" t="str">
        <f t="shared" si="1"/>
        <v/>
      </c>
      <c r="I5" s="168" t="str">
        <f>IF(F5="","",(SUM(G3*F5)))</f>
        <v/>
      </c>
      <c r="J5" s="159" t="str">
        <f t="shared" si="2"/>
        <v/>
      </c>
      <c r="K5" s="178"/>
      <c r="L5" s="178"/>
      <c r="M5" s="178"/>
      <c r="N5" s="178"/>
      <c r="O5" s="178"/>
      <c r="P5" s="178"/>
      <c r="Q5" s="178"/>
      <c r="R5" s="178"/>
      <c r="S5" s="178"/>
      <c r="T5" s="178"/>
      <c r="U5" s="178"/>
      <c r="V5" s="178"/>
      <c r="W5" s="178"/>
      <c r="X5" s="178"/>
      <c r="Y5" s="178"/>
      <c r="Z5" s="178"/>
      <c r="AA5" s="188"/>
    </row>
    <row r="6">
      <c r="A6" s="94"/>
      <c r="B6" s="160"/>
      <c r="C6" s="94"/>
      <c r="D6" s="94"/>
      <c r="E6" s="161"/>
      <c r="F6" s="161"/>
      <c r="G6" s="94"/>
      <c r="H6" s="166" t="str">
        <f t="shared" si="1"/>
        <v/>
      </c>
      <c r="I6" s="166" t="str">
        <f>IF(F6="","",(SUM(G3*F6)))</f>
        <v/>
      </c>
      <c r="J6" s="164" t="str">
        <f t="shared" si="2"/>
        <v/>
      </c>
      <c r="K6" s="178"/>
      <c r="L6" s="178"/>
      <c r="M6" s="178"/>
      <c r="N6" s="178"/>
      <c r="O6" s="178"/>
      <c r="P6" s="178"/>
      <c r="Q6" s="178"/>
      <c r="R6" s="178"/>
      <c r="S6" s="178"/>
      <c r="T6" s="178"/>
      <c r="U6" s="178"/>
      <c r="V6" s="178"/>
      <c r="W6" s="178"/>
      <c r="X6" s="178"/>
      <c r="Y6" s="178"/>
      <c r="Z6" s="178"/>
      <c r="AA6" s="188"/>
    </row>
    <row r="7">
      <c r="A7" s="61"/>
      <c r="B7" s="155"/>
      <c r="C7" s="61"/>
      <c r="D7" s="61"/>
      <c r="E7" s="150"/>
      <c r="F7" s="150"/>
      <c r="G7" s="61"/>
      <c r="H7" s="168" t="str">
        <f t="shared" si="1"/>
        <v/>
      </c>
      <c r="I7" s="168" t="str">
        <f>IF(F7="","",(SUM(G3*F7)))</f>
        <v/>
      </c>
      <c r="J7" s="159" t="str">
        <f t="shared" si="2"/>
        <v/>
      </c>
      <c r="K7" s="178"/>
      <c r="L7" s="178"/>
      <c r="M7" s="178"/>
      <c r="N7" s="178"/>
      <c r="O7" s="178"/>
      <c r="P7" s="178"/>
      <c r="Q7" s="178"/>
      <c r="R7" s="178"/>
      <c r="S7" s="178"/>
      <c r="T7" s="178"/>
      <c r="U7" s="178"/>
      <c r="V7" s="178"/>
      <c r="W7" s="178"/>
      <c r="X7" s="178"/>
      <c r="Y7" s="178"/>
      <c r="Z7" s="178"/>
      <c r="AA7" s="188"/>
    </row>
    <row r="8">
      <c r="A8" s="94"/>
      <c r="B8" s="160"/>
      <c r="C8" s="94"/>
      <c r="D8" s="94"/>
      <c r="E8" s="161"/>
      <c r="F8" s="161"/>
      <c r="G8" s="94"/>
      <c r="H8" s="166" t="str">
        <f t="shared" si="1"/>
        <v/>
      </c>
      <c r="I8" s="166" t="str">
        <f>IF(F8="","",(SUM(G3*F8)))</f>
        <v/>
      </c>
      <c r="J8" s="164" t="str">
        <f t="shared" si="2"/>
        <v/>
      </c>
      <c r="K8" s="178"/>
      <c r="L8" s="178"/>
      <c r="M8" s="178"/>
      <c r="N8" s="178"/>
      <c r="O8" s="178"/>
      <c r="P8" s="178"/>
      <c r="Q8" s="178"/>
      <c r="R8" s="178"/>
      <c r="S8" s="178"/>
      <c r="T8" s="178"/>
      <c r="U8" s="178"/>
      <c r="V8" s="178"/>
      <c r="W8" s="178"/>
      <c r="X8" s="178"/>
      <c r="Y8" s="178"/>
      <c r="Z8" s="178"/>
      <c r="AA8" s="188"/>
    </row>
    <row r="9">
      <c r="A9" s="61"/>
      <c r="B9" s="155"/>
      <c r="C9" s="61"/>
      <c r="D9" s="61"/>
      <c r="E9" s="150"/>
      <c r="F9" s="150"/>
      <c r="G9" s="61"/>
      <c r="H9" s="168" t="str">
        <f t="shared" si="1"/>
        <v/>
      </c>
      <c r="I9" s="168" t="str">
        <f>IF(F9="","",(SUM(G3*F9)))</f>
        <v/>
      </c>
      <c r="J9" s="159" t="str">
        <f t="shared" si="2"/>
        <v/>
      </c>
      <c r="K9" s="178"/>
      <c r="L9" s="178"/>
      <c r="M9" s="178"/>
      <c r="N9" s="178"/>
      <c r="O9" s="178"/>
      <c r="P9" s="178"/>
      <c r="Q9" s="178"/>
      <c r="R9" s="178"/>
      <c r="S9" s="178"/>
      <c r="T9" s="178"/>
      <c r="U9" s="178"/>
      <c r="V9" s="178"/>
      <c r="W9" s="178"/>
      <c r="X9" s="178"/>
      <c r="Y9" s="178"/>
      <c r="Z9" s="178"/>
      <c r="AA9" s="188"/>
    </row>
    <row r="10">
      <c r="A10" s="138"/>
      <c r="B10" s="160"/>
      <c r="C10" s="138"/>
      <c r="D10" s="138"/>
      <c r="E10" s="161"/>
      <c r="F10" s="161"/>
      <c r="G10" s="138"/>
      <c r="H10" s="166" t="str">
        <f t="shared" si="1"/>
        <v/>
      </c>
      <c r="I10" s="166" t="str">
        <f>IF(F10="","",(SUM(G3*F10)))</f>
        <v/>
      </c>
      <c r="J10" s="164" t="str">
        <f t="shared" si="2"/>
        <v/>
      </c>
      <c r="K10" s="178"/>
      <c r="L10" s="178"/>
      <c r="M10" s="178"/>
      <c r="N10" s="178"/>
      <c r="O10" s="178"/>
      <c r="P10" s="178"/>
      <c r="Q10" s="178"/>
      <c r="R10" s="178"/>
      <c r="S10" s="178"/>
      <c r="T10" s="178"/>
      <c r="U10" s="178"/>
      <c r="V10" s="178"/>
      <c r="W10" s="178"/>
      <c r="X10" s="178"/>
      <c r="Y10" s="178"/>
      <c r="Z10" s="178"/>
      <c r="AA10" s="188"/>
    </row>
    <row r="11">
      <c r="A11" s="222"/>
      <c r="B11" s="178"/>
      <c r="C11" s="178"/>
      <c r="D11" s="178"/>
      <c r="E11" s="178"/>
      <c r="F11" s="178"/>
      <c r="G11" s="178"/>
      <c r="H11" s="178"/>
      <c r="I11" s="178"/>
      <c r="J11" s="178"/>
      <c r="K11" s="178"/>
      <c r="L11" s="178"/>
      <c r="M11" s="178"/>
      <c r="N11" s="178"/>
      <c r="O11" s="178"/>
      <c r="P11" s="178"/>
      <c r="Q11" s="178"/>
      <c r="R11" s="178"/>
      <c r="S11" s="178"/>
      <c r="T11" s="178"/>
      <c r="U11" s="178"/>
      <c r="V11" s="178"/>
      <c r="W11" s="178"/>
      <c r="X11" s="178"/>
      <c r="Y11" s="178"/>
      <c r="Z11" s="178"/>
      <c r="AA11" s="188"/>
    </row>
    <row r="12">
      <c r="A12" s="152" t="s">
        <v>146</v>
      </c>
      <c r="B12" s="153" t="s">
        <v>147</v>
      </c>
      <c r="C12" s="152" t="s">
        <v>148</v>
      </c>
      <c r="D12" s="152" t="s">
        <v>149</v>
      </c>
      <c r="E12" s="153" t="s">
        <v>150</v>
      </c>
      <c r="F12" s="154" t="s">
        <v>112</v>
      </c>
      <c r="G12" s="153" t="s">
        <v>151</v>
      </c>
      <c r="H12" s="153" t="s">
        <v>200</v>
      </c>
      <c r="I12" s="153" t="s">
        <v>113</v>
      </c>
      <c r="J12" s="153" t="s">
        <v>154</v>
      </c>
      <c r="K12" s="178"/>
      <c r="L12" s="178"/>
      <c r="M12" s="178"/>
      <c r="N12" s="178"/>
      <c r="O12" s="178"/>
      <c r="P12" s="178"/>
      <c r="Q12" s="178"/>
      <c r="R12" s="178"/>
      <c r="S12" s="178"/>
      <c r="T12" s="178"/>
      <c r="U12" s="178"/>
      <c r="V12" s="178"/>
      <c r="W12" s="178"/>
      <c r="X12" s="178"/>
      <c r="Y12" s="178"/>
      <c r="Z12" s="178"/>
      <c r="AA12" s="188"/>
    </row>
    <row r="13">
      <c r="A13" s="51">
        <v>338160.0</v>
      </c>
      <c r="B13" s="155">
        <v>45782.0</v>
      </c>
      <c r="C13" s="51" t="s">
        <v>133</v>
      </c>
      <c r="D13" s="51">
        <v>82670.0</v>
      </c>
      <c r="E13" s="150">
        <v>0.0</v>
      </c>
      <c r="F13" s="150">
        <f>D13-E13</f>
        <v>82670</v>
      </c>
      <c r="G13" s="156">
        <v>7600.0</v>
      </c>
      <c r="H13" s="158">
        <f t="shared" ref="H13:H20" si="3">IF(E13="","",(SUM($G$3*E13)))</f>
        <v>0</v>
      </c>
      <c r="I13" s="158">
        <f>F13*G13</f>
        <v>628292000</v>
      </c>
      <c r="J13" s="159" t="str">
        <f>IF(OR(D13="",E13=""),"",IF(F13&lt;=0,"Closed","Open"))</f>
        <v>Open</v>
      </c>
      <c r="K13" s="178"/>
      <c r="L13" s="178"/>
      <c r="M13" s="178"/>
      <c r="N13" s="178"/>
      <c r="O13" s="178"/>
      <c r="P13" s="178"/>
      <c r="Q13" s="178"/>
      <c r="R13" s="178"/>
      <c r="S13" s="178"/>
      <c r="T13" s="178"/>
      <c r="U13" s="178"/>
      <c r="V13" s="178"/>
      <c r="W13" s="178"/>
      <c r="X13" s="178"/>
      <c r="Y13" s="178"/>
      <c r="Z13" s="178"/>
      <c r="AA13" s="188"/>
    </row>
    <row r="14">
      <c r="A14" s="94"/>
      <c r="B14" s="160"/>
      <c r="C14" s="94"/>
      <c r="D14" s="94"/>
      <c r="E14" s="161"/>
      <c r="F14" s="161"/>
      <c r="G14" s="94"/>
      <c r="H14" s="166" t="str">
        <f t="shared" si="3"/>
        <v/>
      </c>
      <c r="I14" s="166" t="str">
        <f>IF(F14="","",(SUM(G13*F14)))</f>
        <v/>
      </c>
      <c r="J14" s="164" t="str">
        <f t="shared" ref="J14:J20" si="4">IF(OR(F14="",E14=""),"",IF(F14&lt;=0,"Closed","Open"))</f>
        <v/>
      </c>
      <c r="K14" s="178"/>
      <c r="L14" s="178"/>
      <c r="M14" s="178"/>
      <c r="N14" s="178"/>
      <c r="O14" s="178"/>
      <c r="P14" s="178"/>
      <c r="Q14" s="178"/>
      <c r="R14" s="178"/>
      <c r="S14" s="178"/>
      <c r="T14" s="178"/>
      <c r="U14" s="178"/>
      <c r="V14" s="178"/>
      <c r="W14" s="178"/>
      <c r="X14" s="178"/>
      <c r="Y14" s="178"/>
      <c r="Z14" s="178"/>
      <c r="AA14" s="188"/>
    </row>
    <row r="15">
      <c r="A15" s="61"/>
      <c r="B15" s="155"/>
      <c r="C15" s="61"/>
      <c r="D15" s="61"/>
      <c r="E15" s="150"/>
      <c r="F15" s="150"/>
      <c r="G15" s="61"/>
      <c r="H15" s="168" t="str">
        <f t="shared" si="3"/>
        <v/>
      </c>
      <c r="I15" s="168" t="str">
        <f>IF(F15="","",(SUM(G13*F15)))</f>
        <v/>
      </c>
      <c r="J15" s="159" t="str">
        <f t="shared" si="4"/>
        <v/>
      </c>
      <c r="K15" s="178"/>
      <c r="L15" s="178"/>
      <c r="M15" s="178"/>
      <c r="N15" s="178"/>
      <c r="O15" s="178"/>
      <c r="P15" s="178"/>
      <c r="Q15" s="178"/>
      <c r="R15" s="178"/>
      <c r="S15" s="178"/>
      <c r="T15" s="178"/>
      <c r="U15" s="178"/>
      <c r="V15" s="178"/>
      <c r="W15" s="178"/>
      <c r="X15" s="178"/>
      <c r="Y15" s="178"/>
      <c r="Z15" s="178"/>
      <c r="AA15" s="188"/>
    </row>
    <row r="16">
      <c r="A16" s="94"/>
      <c r="B16" s="160"/>
      <c r="C16" s="94"/>
      <c r="D16" s="94"/>
      <c r="E16" s="161"/>
      <c r="F16" s="161"/>
      <c r="G16" s="94"/>
      <c r="H16" s="166" t="str">
        <f t="shared" si="3"/>
        <v/>
      </c>
      <c r="I16" s="166" t="str">
        <f>IF(F16="","",(SUM(G13*F16)))</f>
        <v/>
      </c>
      <c r="J16" s="164" t="str">
        <f t="shared" si="4"/>
        <v/>
      </c>
      <c r="K16" s="178"/>
      <c r="L16" s="178"/>
      <c r="M16" s="178"/>
      <c r="N16" s="178"/>
      <c r="O16" s="178"/>
      <c r="P16" s="178"/>
      <c r="Q16" s="178"/>
      <c r="R16" s="178"/>
      <c r="S16" s="178"/>
      <c r="T16" s="178"/>
      <c r="U16" s="178"/>
      <c r="V16" s="178"/>
      <c r="W16" s="178"/>
      <c r="X16" s="178"/>
      <c r="Y16" s="178"/>
      <c r="Z16" s="178"/>
      <c r="AA16" s="188"/>
    </row>
    <row r="17">
      <c r="A17" s="61"/>
      <c r="B17" s="155"/>
      <c r="C17" s="61"/>
      <c r="D17" s="61"/>
      <c r="E17" s="150"/>
      <c r="F17" s="150"/>
      <c r="G17" s="61"/>
      <c r="H17" s="168" t="str">
        <f t="shared" si="3"/>
        <v/>
      </c>
      <c r="I17" s="168" t="str">
        <f>IF(F17="","",(SUM(G13*F17)))</f>
        <v/>
      </c>
      <c r="J17" s="159" t="str">
        <f t="shared" si="4"/>
        <v/>
      </c>
      <c r="K17" s="178"/>
      <c r="L17" s="178"/>
      <c r="M17" s="178"/>
      <c r="N17" s="178"/>
      <c r="O17" s="178"/>
      <c r="P17" s="178"/>
      <c r="Q17" s="178"/>
      <c r="R17" s="178"/>
      <c r="S17" s="178"/>
      <c r="T17" s="178"/>
      <c r="U17" s="178"/>
      <c r="V17" s="178"/>
      <c r="W17" s="178"/>
      <c r="X17" s="178"/>
      <c r="Y17" s="178"/>
      <c r="Z17" s="178"/>
      <c r="AA17" s="188"/>
    </row>
    <row r="18">
      <c r="A18" s="94"/>
      <c r="B18" s="160"/>
      <c r="C18" s="94"/>
      <c r="D18" s="94"/>
      <c r="E18" s="161"/>
      <c r="F18" s="161"/>
      <c r="G18" s="94"/>
      <c r="H18" s="166" t="str">
        <f t="shared" si="3"/>
        <v/>
      </c>
      <c r="I18" s="166" t="str">
        <f>IF(F18="","",(SUM(G13*F18)))</f>
        <v/>
      </c>
      <c r="J18" s="164" t="str">
        <f t="shared" si="4"/>
        <v/>
      </c>
      <c r="K18" s="178"/>
      <c r="L18" s="178"/>
      <c r="M18" s="178"/>
      <c r="N18" s="178"/>
      <c r="O18" s="178"/>
      <c r="P18" s="178"/>
      <c r="Q18" s="178"/>
      <c r="R18" s="178"/>
      <c r="S18" s="178"/>
      <c r="T18" s="178"/>
      <c r="U18" s="178"/>
      <c r="V18" s="178"/>
      <c r="W18" s="178"/>
      <c r="X18" s="178"/>
      <c r="Y18" s="178"/>
      <c r="Z18" s="178"/>
      <c r="AA18" s="188"/>
    </row>
    <row r="19">
      <c r="A19" s="61"/>
      <c r="B19" s="155"/>
      <c r="C19" s="61"/>
      <c r="D19" s="61"/>
      <c r="E19" s="150"/>
      <c r="F19" s="150"/>
      <c r="G19" s="61"/>
      <c r="H19" s="168" t="str">
        <f t="shared" si="3"/>
        <v/>
      </c>
      <c r="I19" s="168" t="str">
        <f>IF(F19="","",(SUM(G13*F19)))</f>
        <v/>
      </c>
      <c r="J19" s="159" t="str">
        <f t="shared" si="4"/>
        <v/>
      </c>
      <c r="K19" s="178"/>
      <c r="L19" s="178"/>
      <c r="M19" s="178"/>
      <c r="N19" s="178"/>
      <c r="O19" s="178"/>
      <c r="P19" s="178"/>
      <c r="Q19" s="178"/>
      <c r="R19" s="178"/>
      <c r="S19" s="178"/>
      <c r="T19" s="178"/>
      <c r="U19" s="178"/>
      <c r="V19" s="178"/>
      <c r="W19" s="178"/>
      <c r="X19" s="178"/>
      <c r="Y19" s="178"/>
      <c r="Z19" s="178"/>
      <c r="AA19" s="188"/>
    </row>
    <row r="20">
      <c r="A20" s="138"/>
      <c r="B20" s="160"/>
      <c r="C20" s="138"/>
      <c r="D20" s="138"/>
      <c r="E20" s="161"/>
      <c r="F20" s="161"/>
      <c r="G20" s="138"/>
      <c r="H20" s="166" t="str">
        <f t="shared" si="3"/>
        <v/>
      </c>
      <c r="I20" s="166" t="str">
        <f>IF(F20="","",(SUM(G13*F20)))</f>
        <v/>
      </c>
      <c r="J20" s="164" t="str">
        <f t="shared" si="4"/>
        <v/>
      </c>
      <c r="K20" s="178"/>
      <c r="L20" s="178"/>
      <c r="M20" s="178"/>
      <c r="N20" s="178"/>
      <c r="O20" s="178"/>
      <c r="P20" s="178"/>
      <c r="Q20" s="178"/>
      <c r="R20" s="178"/>
      <c r="S20" s="178"/>
      <c r="T20" s="178"/>
      <c r="U20" s="178"/>
      <c r="V20" s="178"/>
      <c r="W20" s="178"/>
      <c r="X20" s="178"/>
      <c r="Y20" s="178"/>
      <c r="Z20" s="178"/>
      <c r="AA20" s="188"/>
    </row>
    <row r="21">
      <c r="A21" s="222"/>
      <c r="B21" s="178"/>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c r="AA21" s="188"/>
    </row>
    <row r="22">
      <c r="A22" s="152" t="s">
        <v>146</v>
      </c>
      <c r="B22" s="153" t="s">
        <v>147</v>
      </c>
      <c r="C22" s="152" t="s">
        <v>148</v>
      </c>
      <c r="D22" s="152" t="s">
        <v>149</v>
      </c>
      <c r="E22" s="153" t="s">
        <v>150</v>
      </c>
      <c r="F22" s="154" t="s">
        <v>112</v>
      </c>
      <c r="G22" s="153" t="s">
        <v>151</v>
      </c>
      <c r="H22" s="153" t="s">
        <v>200</v>
      </c>
      <c r="I22" s="153" t="s">
        <v>113</v>
      </c>
      <c r="J22" s="153" t="s">
        <v>154</v>
      </c>
      <c r="K22" s="178"/>
      <c r="L22" s="178"/>
      <c r="M22" s="178"/>
      <c r="N22" s="178"/>
      <c r="O22" s="178"/>
      <c r="P22" s="178"/>
      <c r="Q22" s="178"/>
      <c r="R22" s="178"/>
      <c r="S22" s="178"/>
      <c r="T22" s="178"/>
      <c r="U22" s="178"/>
      <c r="V22" s="178"/>
      <c r="W22" s="178"/>
      <c r="X22" s="178"/>
      <c r="Y22" s="178"/>
      <c r="Z22" s="178"/>
      <c r="AA22" s="188"/>
    </row>
    <row r="23">
      <c r="A23" s="51">
        <v>339820.0</v>
      </c>
      <c r="B23" s="155">
        <v>45792.0</v>
      </c>
      <c r="C23" s="51" t="s">
        <v>130</v>
      </c>
      <c r="D23" s="51">
        <v>25000.0</v>
      </c>
      <c r="E23" s="150">
        <v>0.0</v>
      </c>
      <c r="F23" s="150">
        <f>D23-E23</f>
        <v>25000</v>
      </c>
      <c r="G23" s="156">
        <v>3900.0</v>
      </c>
      <c r="H23" s="158">
        <f t="shared" ref="H23:H30" si="5">IF(E23="","",(SUM($G$3*E23)))</f>
        <v>0</v>
      </c>
      <c r="I23" s="158">
        <f>F23*G23</f>
        <v>97500000</v>
      </c>
      <c r="J23" s="159" t="str">
        <f>IF(OR(D23="",E23=""),"",IF(F23&lt;=0,"Closed","Open"))</f>
        <v>Open</v>
      </c>
      <c r="K23" s="178"/>
      <c r="L23" s="178"/>
      <c r="M23" s="178"/>
      <c r="N23" s="178"/>
      <c r="O23" s="178"/>
      <c r="P23" s="178"/>
      <c r="Q23" s="178"/>
      <c r="R23" s="178"/>
      <c r="S23" s="178"/>
      <c r="T23" s="178"/>
      <c r="U23" s="178"/>
      <c r="V23" s="178"/>
      <c r="W23" s="178"/>
      <c r="X23" s="178"/>
      <c r="Y23" s="178"/>
      <c r="Z23" s="178"/>
      <c r="AA23" s="188"/>
    </row>
    <row r="24">
      <c r="A24" s="94"/>
      <c r="B24" s="160"/>
      <c r="C24" s="94"/>
      <c r="D24" s="94"/>
      <c r="E24" s="161"/>
      <c r="F24" s="161"/>
      <c r="G24" s="94"/>
      <c r="H24" s="166" t="str">
        <f t="shared" si="5"/>
        <v/>
      </c>
      <c r="I24" s="166" t="str">
        <f>IF(F24="","",(SUM(G23*F24)))</f>
        <v/>
      </c>
      <c r="J24" s="164" t="str">
        <f t="shared" ref="J24:J30" si="6">IF(OR(F24="",E24=""),"",IF(F24&lt;=0,"Closed","Open"))</f>
        <v/>
      </c>
      <c r="K24" s="178"/>
      <c r="L24" s="178"/>
      <c r="M24" s="178"/>
      <c r="N24" s="178"/>
      <c r="O24" s="178"/>
      <c r="P24" s="178"/>
      <c r="Q24" s="178"/>
      <c r="R24" s="178"/>
      <c r="S24" s="178"/>
      <c r="T24" s="178"/>
      <c r="U24" s="178"/>
      <c r="V24" s="178"/>
      <c r="W24" s="178"/>
      <c r="X24" s="178"/>
      <c r="Y24" s="178"/>
      <c r="Z24" s="178"/>
      <c r="AA24" s="188"/>
    </row>
    <row r="25">
      <c r="A25" s="61"/>
      <c r="B25" s="155"/>
      <c r="C25" s="61"/>
      <c r="D25" s="61"/>
      <c r="E25" s="150"/>
      <c r="F25" s="150"/>
      <c r="G25" s="61"/>
      <c r="H25" s="168" t="str">
        <f t="shared" si="5"/>
        <v/>
      </c>
      <c r="I25" s="168" t="str">
        <f>IF(F25="","",(SUM(G23*F25)))</f>
        <v/>
      </c>
      <c r="J25" s="159" t="str">
        <f t="shared" si="6"/>
        <v/>
      </c>
      <c r="K25" s="178"/>
      <c r="L25" s="178"/>
      <c r="M25" s="178"/>
      <c r="N25" s="178"/>
      <c r="O25" s="178"/>
      <c r="P25" s="178"/>
      <c r="Q25" s="178"/>
      <c r="R25" s="178"/>
      <c r="S25" s="178"/>
      <c r="T25" s="178"/>
      <c r="U25" s="178"/>
      <c r="V25" s="178"/>
      <c r="W25" s="178"/>
      <c r="X25" s="178"/>
      <c r="Y25" s="178"/>
      <c r="Z25" s="178"/>
      <c r="AA25" s="188"/>
    </row>
    <row r="26">
      <c r="A26" s="94"/>
      <c r="B26" s="160"/>
      <c r="C26" s="94"/>
      <c r="D26" s="94"/>
      <c r="E26" s="161"/>
      <c r="F26" s="161"/>
      <c r="G26" s="94"/>
      <c r="H26" s="166" t="str">
        <f t="shared" si="5"/>
        <v/>
      </c>
      <c r="I26" s="166" t="str">
        <f>IF(F26="","",(SUM(G23*F26)))</f>
        <v/>
      </c>
      <c r="J26" s="164" t="str">
        <f t="shared" si="6"/>
        <v/>
      </c>
      <c r="K26" s="178"/>
      <c r="L26" s="178"/>
      <c r="M26" s="178"/>
      <c r="N26" s="178"/>
      <c r="O26" s="178"/>
      <c r="P26" s="178"/>
      <c r="Q26" s="178"/>
      <c r="R26" s="178"/>
      <c r="S26" s="178"/>
      <c r="T26" s="178"/>
      <c r="U26" s="178"/>
      <c r="V26" s="178"/>
      <c r="W26" s="178"/>
      <c r="X26" s="178"/>
      <c r="Y26" s="178"/>
      <c r="Z26" s="178"/>
      <c r="AA26" s="188"/>
    </row>
    <row r="27">
      <c r="A27" s="61"/>
      <c r="B27" s="155"/>
      <c r="C27" s="61"/>
      <c r="D27" s="61"/>
      <c r="E27" s="150"/>
      <c r="F27" s="150"/>
      <c r="G27" s="61"/>
      <c r="H27" s="168" t="str">
        <f t="shared" si="5"/>
        <v/>
      </c>
      <c r="I27" s="168" t="str">
        <f>IF(F27="","",(SUM(G23*F27)))</f>
        <v/>
      </c>
      <c r="J27" s="159" t="str">
        <f t="shared" si="6"/>
        <v/>
      </c>
      <c r="K27" s="178"/>
      <c r="L27" s="178"/>
      <c r="M27" s="178"/>
      <c r="N27" s="178"/>
      <c r="O27" s="178"/>
      <c r="P27" s="178"/>
      <c r="Q27" s="178"/>
      <c r="R27" s="178"/>
      <c r="S27" s="178"/>
      <c r="T27" s="178"/>
      <c r="U27" s="178"/>
      <c r="V27" s="178"/>
      <c r="W27" s="178"/>
      <c r="X27" s="178"/>
      <c r="Y27" s="178"/>
      <c r="Z27" s="178"/>
      <c r="AA27" s="188"/>
    </row>
    <row r="28">
      <c r="A28" s="94"/>
      <c r="B28" s="160"/>
      <c r="C28" s="94"/>
      <c r="D28" s="94"/>
      <c r="E28" s="161"/>
      <c r="F28" s="161"/>
      <c r="G28" s="94"/>
      <c r="H28" s="166" t="str">
        <f t="shared" si="5"/>
        <v/>
      </c>
      <c r="I28" s="166" t="str">
        <f>IF(F28="","",(SUM(G23*F28)))</f>
        <v/>
      </c>
      <c r="J28" s="164" t="str">
        <f t="shared" si="6"/>
        <v/>
      </c>
      <c r="K28" s="178"/>
      <c r="L28" s="178"/>
      <c r="M28" s="178"/>
      <c r="N28" s="178"/>
      <c r="O28" s="178"/>
      <c r="P28" s="178"/>
      <c r="Q28" s="178"/>
      <c r="R28" s="178"/>
      <c r="S28" s="178"/>
      <c r="T28" s="178"/>
      <c r="U28" s="178"/>
      <c r="V28" s="178"/>
      <c r="W28" s="178"/>
      <c r="X28" s="178"/>
      <c r="Y28" s="178"/>
      <c r="Z28" s="178"/>
      <c r="AA28" s="188"/>
    </row>
    <row r="29">
      <c r="A29" s="61"/>
      <c r="B29" s="155"/>
      <c r="C29" s="61"/>
      <c r="D29" s="61"/>
      <c r="E29" s="150"/>
      <c r="F29" s="150"/>
      <c r="G29" s="61"/>
      <c r="H29" s="168" t="str">
        <f t="shared" si="5"/>
        <v/>
      </c>
      <c r="I29" s="168" t="str">
        <f>IF(F29="","",(SUM(G23*F29)))</f>
        <v/>
      </c>
      <c r="J29" s="159" t="str">
        <f t="shared" si="6"/>
        <v/>
      </c>
      <c r="K29" s="178"/>
      <c r="L29" s="178"/>
      <c r="M29" s="178"/>
      <c r="N29" s="178"/>
      <c r="O29" s="178"/>
      <c r="P29" s="178"/>
      <c r="Q29" s="178"/>
      <c r="R29" s="178"/>
      <c r="S29" s="178"/>
      <c r="T29" s="178"/>
      <c r="U29" s="178"/>
      <c r="V29" s="178"/>
      <c r="W29" s="178"/>
      <c r="X29" s="178"/>
      <c r="Y29" s="178"/>
      <c r="Z29" s="178"/>
      <c r="AA29" s="188"/>
    </row>
    <row r="30">
      <c r="A30" s="138"/>
      <c r="B30" s="160"/>
      <c r="C30" s="138"/>
      <c r="D30" s="138"/>
      <c r="E30" s="161"/>
      <c r="F30" s="161"/>
      <c r="G30" s="138"/>
      <c r="H30" s="166" t="str">
        <f t="shared" si="5"/>
        <v/>
      </c>
      <c r="I30" s="166" t="str">
        <f>IF(F30="","",(SUM(G23*F30)))</f>
        <v/>
      </c>
      <c r="J30" s="164" t="str">
        <f t="shared" si="6"/>
        <v/>
      </c>
      <c r="K30" s="178"/>
      <c r="L30" s="178"/>
      <c r="M30" s="178"/>
      <c r="N30" s="178"/>
      <c r="O30" s="178"/>
      <c r="P30" s="178"/>
      <c r="Q30" s="178"/>
      <c r="R30" s="178"/>
      <c r="S30" s="178"/>
      <c r="T30" s="178"/>
      <c r="U30" s="178"/>
      <c r="V30" s="178"/>
      <c r="W30" s="178"/>
      <c r="X30" s="178"/>
      <c r="Y30" s="178"/>
      <c r="Z30" s="178"/>
      <c r="AA30" s="188"/>
    </row>
    <row r="31">
      <c r="A31" s="222"/>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c r="AA31" s="188"/>
    </row>
    <row r="32">
      <c r="A32" s="222"/>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88"/>
    </row>
    <row r="33">
      <c r="A33" s="222"/>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88"/>
    </row>
    <row r="34">
      <c r="A34" s="222"/>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88"/>
    </row>
    <row r="35">
      <c r="A35" s="222"/>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88"/>
    </row>
    <row r="36">
      <c r="A36" s="222"/>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88"/>
    </row>
    <row r="37">
      <c r="A37" s="222"/>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88"/>
    </row>
    <row r="38">
      <c r="A38" s="222"/>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88"/>
    </row>
    <row r="39">
      <c r="A39" s="222"/>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c r="AA39" s="188"/>
    </row>
    <row r="40">
      <c r="A40" s="222"/>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88"/>
    </row>
    <row r="41">
      <c r="A41" s="222"/>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88"/>
    </row>
    <row r="42">
      <c r="A42" s="222"/>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88"/>
    </row>
    <row r="43">
      <c r="A43" s="222"/>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88"/>
    </row>
    <row r="44">
      <c r="A44" s="222"/>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88"/>
    </row>
    <row r="45">
      <c r="A45" s="222"/>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88"/>
    </row>
    <row r="46">
      <c r="A46" s="222"/>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88"/>
    </row>
    <row r="47">
      <c r="A47" s="222"/>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88"/>
    </row>
    <row r="48">
      <c r="A48" s="222"/>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88"/>
    </row>
    <row r="49">
      <c r="A49" s="222"/>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88"/>
    </row>
    <row r="50">
      <c r="A50" s="222"/>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88"/>
    </row>
    <row r="51">
      <c r="A51" s="222"/>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88"/>
    </row>
    <row r="52">
      <c r="A52" s="222"/>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88"/>
    </row>
    <row r="53">
      <c r="A53" s="222"/>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88"/>
    </row>
    <row r="54">
      <c r="A54" s="222"/>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88"/>
    </row>
    <row r="55">
      <c r="A55" s="222"/>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88"/>
    </row>
    <row r="56">
      <c r="A56" s="222"/>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88"/>
    </row>
    <row r="57">
      <c r="A57" s="222"/>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88"/>
    </row>
    <row r="58">
      <c r="A58" s="222"/>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88"/>
    </row>
    <row r="59">
      <c r="A59" s="222"/>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88"/>
    </row>
    <row r="60">
      <c r="A60" s="222"/>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88"/>
    </row>
    <row r="61">
      <c r="A61" s="222"/>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88"/>
    </row>
    <row r="62">
      <c r="A62" s="222"/>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88"/>
    </row>
    <row r="63">
      <c r="A63" s="222"/>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88"/>
    </row>
    <row r="64">
      <c r="A64" s="222"/>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88"/>
    </row>
    <row r="65">
      <c r="A65" s="222"/>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88"/>
    </row>
    <row r="66">
      <c r="A66" s="222"/>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88"/>
    </row>
    <row r="67">
      <c r="A67" s="222"/>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88"/>
    </row>
    <row r="68">
      <c r="A68" s="222"/>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88"/>
    </row>
    <row r="69">
      <c r="A69" s="222"/>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88"/>
    </row>
    <row r="70">
      <c r="A70" s="222"/>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88"/>
    </row>
    <row r="71">
      <c r="A71" s="222"/>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88"/>
    </row>
    <row r="72">
      <c r="A72" s="222"/>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88"/>
    </row>
    <row r="73">
      <c r="A73" s="222"/>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88"/>
    </row>
    <row r="74">
      <c r="A74" s="222"/>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88"/>
    </row>
    <row r="75">
      <c r="A75" s="222"/>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88"/>
    </row>
    <row r="76">
      <c r="A76" s="222"/>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88"/>
    </row>
    <row r="77">
      <c r="A77" s="222"/>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88"/>
    </row>
    <row r="78">
      <c r="A78" s="222"/>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88"/>
    </row>
    <row r="79">
      <c r="A79" s="222"/>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88"/>
    </row>
    <row r="80">
      <c r="A80" s="222"/>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88"/>
    </row>
    <row r="81">
      <c r="A81" s="222"/>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88"/>
    </row>
    <row r="82">
      <c r="A82" s="222"/>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88"/>
    </row>
    <row r="83">
      <c r="A83" s="222"/>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88"/>
    </row>
    <row r="84">
      <c r="A84" s="222"/>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88"/>
    </row>
    <row r="85">
      <c r="A85" s="222"/>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88"/>
    </row>
    <row r="86">
      <c r="A86" s="222"/>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88"/>
    </row>
    <row r="87">
      <c r="A87" s="222"/>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88"/>
    </row>
    <row r="88">
      <c r="A88" s="222"/>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88"/>
    </row>
    <row r="89">
      <c r="A89" s="222"/>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88"/>
    </row>
    <row r="90">
      <c r="A90" s="222"/>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88"/>
    </row>
    <row r="91">
      <c r="A91" s="222"/>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88"/>
    </row>
    <row r="92">
      <c r="A92" s="222"/>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88"/>
    </row>
    <row r="93">
      <c r="A93" s="222"/>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88"/>
    </row>
    <row r="94">
      <c r="A94" s="222"/>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88"/>
    </row>
    <row r="95">
      <c r="A95" s="222"/>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88"/>
    </row>
    <row r="96">
      <c r="A96" s="222"/>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88"/>
    </row>
    <row r="97">
      <c r="A97" s="222"/>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88"/>
    </row>
    <row r="98">
      <c r="A98" s="222"/>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88"/>
    </row>
    <row r="99">
      <c r="A99" s="222"/>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88"/>
    </row>
    <row r="100">
      <c r="A100" s="222"/>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88"/>
    </row>
    <row r="101">
      <c r="A101" s="222"/>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88"/>
    </row>
    <row r="102">
      <c r="A102" s="222"/>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88"/>
    </row>
    <row r="103">
      <c r="A103" s="222"/>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88"/>
    </row>
    <row r="104">
      <c r="A104" s="222"/>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88"/>
    </row>
    <row r="105">
      <c r="A105" s="222"/>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88"/>
    </row>
    <row r="106">
      <c r="A106" s="222"/>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88"/>
    </row>
    <row r="107">
      <c r="A107" s="222"/>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88"/>
    </row>
    <row r="108">
      <c r="A108" s="222"/>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88"/>
    </row>
    <row r="109">
      <c r="A109" s="222"/>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88"/>
    </row>
    <row r="110">
      <c r="A110" s="222"/>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88"/>
    </row>
    <row r="111">
      <c r="A111" s="222"/>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88"/>
    </row>
    <row r="112">
      <c r="A112" s="222"/>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88"/>
    </row>
    <row r="113">
      <c r="A113" s="222"/>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88"/>
    </row>
    <row r="114">
      <c r="A114" s="222"/>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88"/>
    </row>
    <row r="115">
      <c r="A115" s="222"/>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88"/>
    </row>
    <row r="116">
      <c r="A116" s="222"/>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88"/>
    </row>
    <row r="117">
      <c r="A117" s="222"/>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88"/>
    </row>
    <row r="118">
      <c r="A118" s="222"/>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88"/>
    </row>
    <row r="119">
      <c r="A119" s="222"/>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88"/>
    </row>
    <row r="120">
      <c r="A120" s="222"/>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88"/>
    </row>
    <row r="121">
      <c r="A121" s="222"/>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88"/>
    </row>
    <row r="122">
      <c r="A122" s="222"/>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88"/>
    </row>
    <row r="123">
      <c r="A123" s="222"/>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88"/>
    </row>
    <row r="124">
      <c r="A124" s="222"/>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88"/>
    </row>
    <row r="125">
      <c r="A125" s="222"/>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88"/>
    </row>
    <row r="126">
      <c r="A126" s="222"/>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88"/>
    </row>
    <row r="127">
      <c r="A127" s="222"/>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88"/>
    </row>
    <row r="128">
      <c r="A128" s="222"/>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88"/>
    </row>
    <row r="129">
      <c r="A129" s="222"/>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88"/>
    </row>
    <row r="130">
      <c r="A130" s="222"/>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88"/>
    </row>
    <row r="131">
      <c r="A131" s="222"/>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88"/>
    </row>
    <row r="132">
      <c r="A132" s="222"/>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88"/>
    </row>
    <row r="133">
      <c r="A133" s="222"/>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88"/>
    </row>
    <row r="134">
      <c r="A134" s="222"/>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88"/>
    </row>
    <row r="135">
      <c r="A135" s="222"/>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88"/>
    </row>
    <row r="136">
      <c r="A136" s="222"/>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88"/>
    </row>
    <row r="137">
      <c r="A137" s="222"/>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88"/>
    </row>
    <row r="138">
      <c r="A138" s="222"/>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88"/>
    </row>
    <row r="139">
      <c r="A139" s="222"/>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88"/>
    </row>
    <row r="140">
      <c r="A140" s="222"/>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88"/>
    </row>
    <row r="141">
      <c r="A141" s="222"/>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88"/>
    </row>
    <row r="142">
      <c r="A142" s="222"/>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88"/>
    </row>
    <row r="143">
      <c r="A143" s="222"/>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88"/>
    </row>
    <row r="144">
      <c r="A144" s="222"/>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88"/>
    </row>
    <row r="145">
      <c r="A145" s="222"/>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88"/>
    </row>
    <row r="146">
      <c r="A146" s="222"/>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88"/>
    </row>
    <row r="147">
      <c r="A147" s="222"/>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88"/>
    </row>
    <row r="148">
      <c r="A148" s="222"/>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88"/>
    </row>
    <row r="149">
      <c r="A149" s="222"/>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88"/>
    </row>
    <row r="150">
      <c r="A150" s="222"/>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88"/>
    </row>
    <row r="151">
      <c r="A151" s="222"/>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88"/>
    </row>
    <row r="152">
      <c r="A152" s="222"/>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88"/>
    </row>
    <row r="153">
      <c r="A153" s="222"/>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88"/>
    </row>
    <row r="154">
      <c r="A154" s="222"/>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88"/>
    </row>
    <row r="155">
      <c r="A155" s="222"/>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88"/>
    </row>
    <row r="156">
      <c r="A156" s="222"/>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88"/>
    </row>
    <row r="157">
      <c r="A157" s="222"/>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88"/>
    </row>
    <row r="158">
      <c r="A158" s="222"/>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88"/>
    </row>
    <row r="159">
      <c r="A159" s="222"/>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88"/>
    </row>
    <row r="160">
      <c r="A160" s="222"/>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88"/>
    </row>
    <row r="161">
      <c r="A161" s="222"/>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88"/>
    </row>
    <row r="162">
      <c r="A162" s="222"/>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88"/>
    </row>
    <row r="163">
      <c r="A163" s="222"/>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88"/>
    </row>
    <row r="164">
      <c r="A164" s="222"/>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88"/>
    </row>
    <row r="165">
      <c r="A165" s="222"/>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88"/>
    </row>
    <row r="166">
      <c r="A166" s="222"/>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88"/>
    </row>
    <row r="167">
      <c r="A167" s="222"/>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88"/>
    </row>
    <row r="168">
      <c r="A168" s="222"/>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88"/>
    </row>
    <row r="169">
      <c r="A169" s="222"/>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88"/>
    </row>
    <row r="170">
      <c r="A170" s="222"/>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88"/>
    </row>
    <row r="171">
      <c r="A171" s="222"/>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88"/>
    </row>
    <row r="172">
      <c r="A172" s="222"/>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88"/>
    </row>
    <row r="173">
      <c r="A173" s="222"/>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88"/>
    </row>
    <row r="174">
      <c r="A174" s="222"/>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88"/>
    </row>
    <row r="175">
      <c r="A175" s="222"/>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88"/>
    </row>
    <row r="176">
      <c r="A176" s="222"/>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88"/>
    </row>
    <row r="177">
      <c r="A177" s="222"/>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88"/>
    </row>
    <row r="178">
      <c r="A178" s="222"/>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88"/>
    </row>
    <row r="179">
      <c r="A179" s="222"/>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88"/>
    </row>
    <row r="180">
      <c r="A180" s="222"/>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88"/>
    </row>
    <row r="181">
      <c r="A181" s="222"/>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88"/>
    </row>
    <row r="182">
      <c r="A182" s="222"/>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88"/>
    </row>
    <row r="183">
      <c r="A183" s="222"/>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88"/>
    </row>
    <row r="184">
      <c r="A184" s="222"/>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88"/>
    </row>
    <row r="185">
      <c r="A185" s="222"/>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88"/>
    </row>
    <row r="186">
      <c r="A186" s="222"/>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88"/>
    </row>
    <row r="187">
      <c r="A187" s="222"/>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88"/>
    </row>
    <row r="188">
      <c r="A188" s="222"/>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88"/>
    </row>
    <row r="189">
      <c r="A189" s="222"/>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88"/>
    </row>
    <row r="190">
      <c r="A190" s="222"/>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88"/>
    </row>
    <row r="191">
      <c r="A191" s="222"/>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88"/>
    </row>
    <row r="192">
      <c r="A192" s="222"/>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88"/>
    </row>
    <row r="193">
      <c r="A193" s="222"/>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88"/>
    </row>
    <row r="194">
      <c r="A194" s="222"/>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88"/>
    </row>
    <row r="195">
      <c r="A195" s="222"/>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88"/>
    </row>
    <row r="196">
      <c r="A196" s="222"/>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88"/>
    </row>
    <row r="197">
      <c r="A197" s="222"/>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88"/>
    </row>
    <row r="198">
      <c r="A198" s="222"/>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88"/>
    </row>
    <row r="199">
      <c r="A199" s="222"/>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88"/>
    </row>
    <row r="200">
      <c r="A200" s="222"/>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88"/>
    </row>
    <row r="201">
      <c r="A201" s="222"/>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88"/>
    </row>
    <row r="202">
      <c r="A202" s="222"/>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88"/>
    </row>
    <row r="203">
      <c r="A203" s="222"/>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88"/>
    </row>
    <row r="204">
      <c r="A204" s="222"/>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88"/>
    </row>
    <row r="205">
      <c r="A205" s="222"/>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88"/>
    </row>
    <row r="206">
      <c r="A206" s="222"/>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88"/>
    </row>
    <row r="207">
      <c r="A207" s="222"/>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88"/>
    </row>
    <row r="208">
      <c r="A208" s="222"/>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88"/>
    </row>
    <row r="209">
      <c r="A209" s="222"/>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88"/>
    </row>
    <row r="210">
      <c r="A210" s="222"/>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88"/>
    </row>
    <row r="211">
      <c r="A211" s="222"/>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88"/>
    </row>
    <row r="212">
      <c r="A212" s="222"/>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88"/>
    </row>
    <row r="213">
      <c r="A213" s="222"/>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88"/>
    </row>
    <row r="214">
      <c r="A214" s="222"/>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88"/>
    </row>
    <row r="215">
      <c r="A215" s="222"/>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88"/>
    </row>
    <row r="216">
      <c r="A216" s="222"/>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88"/>
    </row>
    <row r="217">
      <c r="A217" s="222"/>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88"/>
    </row>
    <row r="218">
      <c r="A218" s="222"/>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88"/>
    </row>
    <row r="219">
      <c r="A219" s="222"/>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88"/>
    </row>
    <row r="220">
      <c r="A220" s="222"/>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88"/>
    </row>
    <row r="221">
      <c r="A221" s="222"/>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88"/>
    </row>
    <row r="222">
      <c r="A222" s="222"/>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88"/>
    </row>
    <row r="223">
      <c r="A223" s="222"/>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88"/>
    </row>
    <row r="224">
      <c r="A224" s="222"/>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88"/>
    </row>
    <row r="225">
      <c r="A225" s="222"/>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88"/>
    </row>
    <row r="226">
      <c r="A226" s="222"/>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88"/>
    </row>
    <row r="227">
      <c r="A227" s="222"/>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88"/>
    </row>
    <row r="228">
      <c r="A228" s="222"/>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88"/>
    </row>
    <row r="229">
      <c r="A229" s="222"/>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88"/>
    </row>
    <row r="230">
      <c r="A230" s="222"/>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88"/>
    </row>
    <row r="231">
      <c r="A231" s="222"/>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88"/>
    </row>
    <row r="232">
      <c r="A232" s="222"/>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88"/>
    </row>
    <row r="233">
      <c r="A233" s="222"/>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88"/>
    </row>
    <row r="234">
      <c r="A234" s="222"/>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88"/>
    </row>
    <row r="235">
      <c r="A235" s="222"/>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88"/>
    </row>
    <row r="236">
      <c r="A236" s="222"/>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88"/>
    </row>
    <row r="237">
      <c r="A237" s="222"/>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88"/>
    </row>
    <row r="238">
      <c r="A238" s="222"/>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88"/>
    </row>
    <row r="239">
      <c r="A239" s="222"/>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88"/>
    </row>
    <row r="240">
      <c r="A240" s="222"/>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88"/>
    </row>
    <row r="241">
      <c r="A241" s="222"/>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88"/>
    </row>
    <row r="242">
      <c r="A242" s="222"/>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88"/>
    </row>
    <row r="243">
      <c r="A243" s="222"/>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88"/>
    </row>
    <row r="244">
      <c r="A244" s="222"/>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88"/>
    </row>
    <row r="245">
      <c r="A245" s="222"/>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88"/>
    </row>
    <row r="246">
      <c r="A246" s="222"/>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88"/>
    </row>
    <row r="247">
      <c r="A247" s="222"/>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88"/>
    </row>
    <row r="248">
      <c r="A248" s="222"/>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88"/>
    </row>
    <row r="249">
      <c r="A249" s="222"/>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88"/>
    </row>
    <row r="250">
      <c r="A250" s="222"/>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88"/>
    </row>
    <row r="251">
      <c r="A251" s="222"/>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88"/>
    </row>
    <row r="252">
      <c r="A252" s="222"/>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88"/>
    </row>
    <row r="253">
      <c r="A253" s="222"/>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88"/>
    </row>
    <row r="254">
      <c r="A254" s="222"/>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88"/>
    </row>
    <row r="255">
      <c r="A255" s="222"/>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88"/>
    </row>
    <row r="256">
      <c r="A256" s="222"/>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88"/>
    </row>
    <row r="257">
      <c r="A257" s="222"/>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88"/>
    </row>
    <row r="258">
      <c r="A258" s="222"/>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88"/>
    </row>
    <row r="259">
      <c r="A259" s="222"/>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88"/>
    </row>
    <row r="260">
      <c r="A260" s="222"/>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88"/>
    </row>
    <row r="261">
      <c r="A261" s="222"/>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88"/>
    </row>
    <row r="262">
      <c r="A262" s="222"/>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88"/>
    </row>
    <row r="263">
      <c r="A263" s="222"/>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88"/>
    </row>
    <row r="264">
      <c r="A264" s="222"/>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88"/>
    </row>
    <row r="265">
      <c r="A265" s="222"/>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88"/>
    </row>
    <row r="266">
      <c r="A266" s="222"/>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88"/>
    </row>
    <row r="267">
      <c r="A267" s="222"/>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88"/>
    </row>
    <row r="268">
      <c r="A268" s="222"/>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88"/>
    </row>
    <row r="269">
      <c r="A269" s="222"/>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88"/>
    </row>
    <row r="270">
      <c r="A270" s="222"/>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88"/>
    </row>
    <row r="271">
      <c r="A271" s="222"/>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88"/>
    </row>
    <row r="272">
      <c r="A272" s="222"/>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88"/>
    </row>
    <row r="273">
      <c r="A273" s="222"/>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88"/>
    </row>
    <row r="274">
      <c r="A274" s="222"/>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88"/>
    </row>
    <row r="275">
      <c r="A275" s="222"/>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88"/>
    </row>
    <row r="276">
      <c r="A276" s="222"/>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88"/>
    </row>
    <row r="277">
      <c r="A277" s="222"/>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88"/>
    </row>
    <row r="278">
      <c r="A278" s="222"/>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88"/>
    </row>
    <row r="279">
      <c r="A279" s="222"/>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88"/>
    </row>
    <row r="280">
      <c r="A280" s="222"/>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88"/>
    </row>
    <row r="281">
      <c r="A281" s="222"/>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88"/>
    </row>
    <row r="282">
      <c r="A282" s="222"/>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88"/>
    </row>
    <row r="283">
      <c r="A283" s="222"/>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88"/>
    </row>
    <row r="284">
      <c r="A284" s="222"/>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88"/>
    </row>
    <row r="285">
      <c r="A285" s="222"/>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88"/>
    </row>
    <row r="286">
      <c r="A286" s="222"/>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88"/>
    </row>
    <row r="287">
      <c r="A287" s="222"/>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88"/>
    </row>
    <row r="288">
      <c r="A288" s="222"/>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88"/>
    </row>
    <row r="289">
      <c r="A289" s="222"/>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88"/>
    </row>
    <row r="290">
      <c r="A290" s="222"/>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88"/>
    </row>
    <row r="291">
      <c r="A291" s="222"/>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88"/>
    </row>
    <row r="292">
      <c r="A292" s="222"/>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88"/>
    </row>
    <row r="293">
      <c r="A293" s="222"/>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88"/>
    </row>
    <row r="294">
      <c r="A294" s="222"/>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88"/>
    </row>
    <row r="295">
      <c r="A295" s="222"/>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88"/>
    </row>
    <row r="296">
      <c r="A296" s="222"/>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88"/>
    </row>
    <row r="297">
      <c r="A297" s="222"/>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88"/>
    </row>
    <row r="298">
      <c r="A298" s="222"/>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88"/>
    </row>
    <row r="299">
      <c r="A299" s="222"/>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88"/>
    </row>
    <row r="300">
      <c r="A300" s="222"/>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88"/>
    </row>
    <row r="301">
      <c r="A301" s="222"/>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88"/>
    </row>
    <row r="302">
      <c r="A302" s="222"/>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88"/>
    </row>
    <row r="303">
      <c r="A303" s="222"/>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88"/>
    </row>
    <row r="304">
      <c r="A304" s="222"/>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88"/>
    </row>
    <row r="305">
      <c r="A305" s="222"/>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88"/>
    </row>
    <row r="306">
      <c r="A306" s="222"/>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88"/>
    </row>
    <row r="307">
      <c r="A307" s="222"/>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88"/>
    </row>
    <row r="308">
      <c r="A308" s="222"/>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88"/>
    </row>
    <row r="309">
      <c r="A309" s="222"/>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88"/>
    </row>
    <row r="310">
      <c r="A310" s="222"/>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88"/>
    </row>
    <row r="311">
      <c r="A311" s="222"/>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88"/>
    </row>
    <row r="312">
      <c r="A312" s="222"/>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88"/>
    </row>
    <row r="313">
      <c r="A313" s="222"/>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88"/>
    </row>
    <row r="314">
      <c r="A314" s="222"/>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88"/>
    </row>
    <row r="315">
      <c r="A315" s="222"/>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88"/>
    </row>
    <row r="316">
      <c r="A316" s="222"/>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88"/>
    </row>
    <row r="317">
      <c r="A317" s="222"/>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88"/>
    </row>
    <row r="318">
      <c r="A318" s="222"/>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88"/>
    </row>
    <row r="319">
      <c r="A319" s="222"/>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88"/>
    </row>
    <row r="320">
      <c r="A320" s="222"/>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88"/>
    </row>
    <row r="321">
      <c r="A321" s="222"/>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88"/>
    </row>
    <row r="322">
      <c r="A322" s="222"/>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88"/>
    </row>
    <row r="323">
      <c r="A323" s="222"/>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88"/>
    </row>
    <row r="324">
      <c r="A324" s="222"/>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88"/>
    </row>
    <row r="325">
      <c r="A325" s="222"/>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88"/>
    </row>
    <row r="326">
      <c r="A326" s="222"/>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88"/>
    </row>
    <row r="327">
      <c r="A327" s="222"/>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88"/>
    </row>
    <row r="328">
      <c r="A328" s="222"/>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88"/>
    </row>
    <row r="329">
      <c r="A329" s="222"/>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88"/>
    </row>
    <row r="330">
      <c r="A330" s="222"/>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88"/>
    </row>
    <row r="331">
      <c r="A331" s="222"/>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88"/>
    </row>
    <row r="332">
      <c r="A332" s="222"/>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88"/>
    </row>
    <row r="333">
      <c r="A333" s="222"/>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88"/>
    </row>
    <row r="334">
      <c r="A334" s="222"/>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88"/>
    </row>
    <row r="335">
      <c r="A335" s="222"/>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88"/>
    </row>
    <row r="336">
      <c r="A336" s="222"/>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88"/>
    </row>
    <row r="337">
      <c r="A337" s="222"/>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88"/>
    </row>
    <row r="338">
      <c r="A338" s="222"/>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88"/>
    </row>
    <row r="339">
      <c r="A339" s="222"/>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88"/>
    </row>
    <row r="340">
      <c r="A340" s="222"/>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88"/>
    </row>
    <row r="341">
      <c r="A341" s="222"/>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88"/>
    </row>
    <row r="342">
      <c r="A342" s="222"/>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88"/>
    </row>
    <row r="343">
      <c r="A343" s="222"/>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88"/>
    </row>
    <row r="344">
      <c r="A344" s="222"/>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88"/>
    </row>
    <row r="345">
      <c r="A345" s="222"/>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88"/>
    </row>
    <row r="346">
      <c r="A346" s="222"/>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88"/>
    </row>
    <row r="347">
      <c r="A347" s="222"/>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88"/>
    </row>
    <row r="348">
      <c r="A348" s="222"/>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88"/>
    </row>
    <row r="349">
      <c r="A349" s="222"/>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88"/>
    </row>
    <row r="350">
      <c r="A350" s="222"/>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88"/>
    </row>
    <row r="351">
      <c r="A351" s="222"/>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88"/>
    </row>
    <row r="352">
      <c r="A352" s="222"/>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88"/>
    </row>
    <row r="353">
      <c r="A353" s="222"/>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88"/>
    </row>
    <row r="354">
      <c r="A354" s="222"/>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88"/>
    </row>
    <row r="355">
      <c r="A355" s="222"/>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88"/>
    </row>
    <row r="356">
      <c r="A356" s="222"/>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88"/>
    </row>
    <row r="357">
      <c r="A357" s="222"/>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88"/>
    </row>
    <row r="358">
      <c r="A358" s="222"/>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88"/>
    </row>
    <row r="359">
      <c r="A359" s="222"/>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88"/>
    </row>
    <row r="360">
      <c r="A360" s="222"/>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88"/>
    </row>
    <row r="361">
      <c r="A361" s="222"/>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88"/>
    </row>
    <row r="362">
      <c r="A362" s="222"/>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88"/>
    </row>
    <row r="363">
      <c r="A363" s="222"/>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88"/>
    </row>
    <row r="364">
      <c r="A364" s="222"/>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88"/>
    </row>
    <row r="365">
      <c r="A365" s="222"/>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88"/>
    </row>
    <row r="366">
      <c r="A366" s="222"/>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88"/>
    </row>
    <row r="367">
      <c r="A367" s="222"/>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88"/>
    </row>
    <row r="368">
      <c r="A368" s="222"/>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88"/>
    </row>
    <row r="369">
      <c r="A369" s="222"/>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88"/>
    </row>
    <row r="370">
      <c r="A370" s="222"/>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88"/>
    </row>
    <row r="371">
      <c r="A371" s="222"/>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88"/>
    </row>
    <row r="372">
      <c r="A372" s="222"/>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88"/>
    </row>
    <row r="373">
      <c r="A373" s="222"/>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88"/>
    </row>
    <row r="374">
      <c r="A374" s="222"/>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88"/>
    </row>
    <row r="375">
      <c r="A375" s="222"/>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88"/>
    </row>
    <row r="376">
      <c r="A376" s="222"/>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88"/>
    </row>
    <row r="377">
      <c r="A377" s="222"/>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88"/>
    </row>
    <row r="378">
      <c r="A378" s="222"/>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88"/>
    </row>
    <row r="379">
      <c r="A379" s="222"/>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88"/>
    </row>
    <row r="380">
      <c r="A380" s="222"/>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88"/>
    </row>
    <row r="381">
      <c r="A381" s="222"/>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88"/>
    </row>
    <row r="382">
      <c r="A382" s="222"/>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88"/>
    </row>
    <row r="383">
      <c r="A383" s="222"/>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88"/>
    </row>
    <row r="384">
      <c r="A384" s="222"/>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88"/>
    </row>
    <row r="385">
      <c r="A385" s="222"/>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88"/>
    </row>
    <row r="386">
      <c r="A386" s="222"/>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88"/>
    </row>
    <row r="387">
      <c r="A387" s="222"/>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88"/>
    </row>
    <row r="388">
      <c r="A388" s="222"/>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88"/>
    </row>
    <row r="389">
      <c r="A389" s="222"/>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88"/>
    </row>
    <row r="390">
      <c r="A390" s="222"/>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88"/>
    </row>
    <row r="391">
      <c r="A391" s="222"/>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88"/>
    </row>
    <row r="392">
      <c r="A392" s="222"/>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88"/>
    </row>
    <row r="393">
      <c r="A393" s="222"/>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88"/>
    </row>
    <row r="394">
      <c r="A394" s="222"/>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88"/>
    </row>
    <row r="395">
      <c r="A395" s="222"/>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88"/>
    </row>
    <row r="396">
      <c r="A396" s="222"/>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88"/>
    </row>
    <row r="397">
      <c r="A397" s="222"/>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88"/>
    </row>
    <row r="398">
      <c r="A398" s="222"/>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88"/>
    </row>
    <row r="399">
      <c r="A399" s="222"/>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88"/>
    </row>
    <row r="400">
      <c r="A400" s="222"/>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88"/>
    </row>
    <row r="401">
      <c r="A401" s="222"/>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88"/>
    </row>
    <row r="402">
      <c r="A402" s="222"/>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88"/>
    </row>
    <row r="403">
      <c r="A403" s="222"/>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88"/>
    </row>
    <row r="404">
      <c r="A404" s="222"/>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88"/>
    </row>
    <row r="405">
      <c r="A405" s="222"/>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88"/>
    </row>
    <row r="406">
      <c r="A406" s="222"/>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88"/>
    </row>
    <row r="407">
      <c r="A407" s="222"/>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88"/>
    </row>
    <row r="408">
      <c r="A408" s="222"/>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88"/>
    </row>
    <row r="409">
      <c r="A409" s="222"/>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88"/>
    </row>
    <row r="410">
      <c r="A410" s="222"/>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88"/>
    </row>
    <row r="411">
      <c r="A411" s="222"/>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88"/>
    </row>
    <row r="412">
      <c r="A412" s="222"/>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88"/>
    </row>
    <row r="413">
      <c r="A413" s="222"/>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88"/>
    </row>
    <row r="414">
      <c r="A414" s="222"/>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88"/>
    </row>
    <row r="415">
      <c r="A415" s="222"/>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88"/>
    </row>
    <row r="416">
      <c r="A416" s="222"/>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88"/>
    </row>
    <row r="417">
      <c r="A417" s="222"/>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88"/>
    </row>
    <row r="418">
      <c r="A418" s="222"/>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88"/>
    </row>
    <row r="419">
      <c r="A419" s="222"/>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88"/>
    </row>
    <row r="420">
      <c r="A420" s="222"/>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88"/>
    </row>
    <row r="421">
      <c r="A421" s="222"/>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88"/>
    </row>
    <row r="422">
      <c r="A422" s="222"/>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88"/>
    </row>
    <row r="423">
      <c r="A423" s="222"/>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88"/>
    </row>
    <row r="424">
      <c r="A424" s="222"/>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88"/>
    </row>
    <row r="425">
      <c r="A425" s="222"/>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88"/>
    </row>
    <row r="426">
      <c r="A426" s="222"/>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88"/>
    </row>
    <row r="427">
      <c r="A427" s="222"/>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88"/>
    </row>
    <row r="428">
      <c r="A428" s="222"/>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88"/>
    </row>
    <row r="429">
      <c r="A429" s="222"/>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88"/>
    </row>
    <row r="430">
      <c r="A430" s="222"/>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88"/>
    </row>
    <row r="431">
      <c r="A431" s="222"/>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88"/>
    </row>
    <row r="432">
      <c r="A432" s="222"/>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88"/>
    </row>
    <row r="433">
      <c r="A433" s="222"/>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88"/>
    </row>
    <row r="434">
      <c r="A434" s="222"/>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88"/>
    </row>
    <row r="435">
      <c r="A435" s="222"/>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88"/>
    </row>
    <row r="436">
      <c r="A436" s="222"/>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88"/>
    </row>
    <row r="437">
      <c r="A437" s="222"/>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88"/>
    </row>
    <row r="438">
      <c r="A438" s="222"/>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88"/>
    </row>
    <row r="439">
      <c r="A439" s="222"/>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88"/>
    </row>
    <row r="440">
      <c r="A440" s="222"/>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88"/>
    </row>
    <row r="441">
      <c r="A441" s="222"/>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88"/>
    </row>
    <row r="442">
      <c r="A442" s="222"/>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88"/>
    </row>
    <row r="443">
      <c r="A443" s="222"/>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88"/>
    </row>
    <row r="444">
      <c r="A444" s="222"/>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88"/>
    </row>
    <row r="445">
      <c r="A445" s="222"/>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88"/>
    </row>
    <row r="446">
      <c r="A446" s="222"/>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88"/>
    </row>
    <row r="447">
      <c r="A447" s="222"/>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88"/>
    </row>
    <row r="448">
      <c r="A448" s="222"/>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88"/>
    </row>
    <row r="449">
      <c r="A449" s="222"/>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88"/>
    </row>
    <row r="450">
      <c r="A450" s="222"/>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88"/>
    </row>
    <row r="451">
      <c r="A451" s="222"/>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88"/>
    </row>
    <row r="452">
      <c r="A452" s="222"/>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88"/>
    </row>
    <row r="453">
      <c r="A453" s="222"/>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88"/>
    </row>
    <row r="454">
      <c r="A454" s="222"/>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88"/>
    </row>
    <row r="455">
      <c r="A455" s="222"/>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88"/>
    </row>
    <row r="456">
      <c r="A456" s="222"/>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88"/>
    </row>
    <row r="457">
      <c r="A457" s="222"/>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88"/>
    </row>
    <row r="458">
      <c r="A458" s="222"/>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88"/>
    </row>
    <row r="459">
      <c r="A459" s="222"/>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88"/>
    </row>
    <row r="460">
      <c r="A460" s="222"/>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88"/>
    </row>
    <row r="461">
      <c r="A461" s="222"/>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88"/>
    </row>
    <row r="462">
      <c r="A462" s="222"/>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88"/>
    </row>
    <row r="463">
      <c r="A463" s="222"/>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88"/>
    </row>
    <row r="464">
      <c r="A464" s="222"/>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88"/>
    </row>
    <row r="465">
      <c r="A465" s="222"/>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88"/>
    </row>
    <row r="466">
      <c r="A466" s="222"/>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88"/>
    </row>
    <row r="467">
      <c r="A467" s="222"/>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88"/>
    </row>
    <row r="468">
      <c r="A468" s="222"/>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88"/>
    </row>
    <row r="469">
      <c r="A469" s="222"/>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88"/>
    </row>
    <row r="470">
      <c r="A470" s="222"/>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88"/>
    </row>
    <row r="471">
      <c r="A471" s="222"/>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88"/>
    </row>
    <row r="472">
      <c r="A472" s="222"/>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88"/>
    </row>
    <row r="473">
      <c r="A473" s="222"/>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88"/>
    </row>
    <row r="474">
      <c r="A474" s="222"/>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88"/>
    </row>
    <row r="475">
      <c r="A475" s="222"/>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88"/>
    </row>
    <row r="476">
      <c r="A476" s="222"/>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88"/>
    </row>
    <row r="477">
      <c r="A477" s="222"/>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88"/>
    </row>
    <row r="478">
      <c r="A478" s="222"/>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88"/>
    </row>
    <row r="479">
      <c r="A479" s="222"/>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88"/>
    </row>
    <row r="480">
      <c r="A480" s="222"/>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88"/>
    </row>
    <row r="481">
      <c r="A481" s="222"/>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88"/>
    </row>
    <row r="482">
      <c r="A482" s="222"/>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88"/>
    </row>
    <row r="483">
      <c r="A483" s="222"/>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88"/>
    </row>
    <row r="484">
      <c r="A484" s="222"/>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88"/>
    </row>
    <row r="485">
      <c r="A485" s="222"/>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88"/>
    </row>
    <row r="486">
      <c r="A486" s="222"/>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88"/>
    </row>
    <row r="487">
      <c r="A487" s="222"/>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88"/>
    </row>
    <row r="488">
      <c r="A488" s="222"/>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88"/>
    </row>
    <row r="489">
      <c r="A489" s="222"/>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88"/>
    </row>
    <row r="490">
      <c r="A490" s="222"/>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88"/>
    </row>
    <row r="491">
      <c r="A491" s="222"/>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88"/>
    </row>
    <row r="492">
      <c r="A492" s="222"/>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88"/>
    </row>
    <row r="493">
      <c r="A493" s="222"/>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88"/>
    </row>
    <row r="494">
      <c r="A494" s="222"/>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88"/>
    </row>
    <row r="495">
      <c r="A495" s="222"/>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88"/>
    </row>
    <row r="496">
      <c r="A496" s="222"/>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88"/>
    </row>
    <row r="497">
      <c r="A497" s="222"/>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88"/>
    </row>
    <row r="498">
      <c r="A498" s="222"/>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88"/>
    </row>
    <row r="499">
      <c r="A499" s="222"/>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88"/>
    </row>
    <row r="500">
      <c r="A500" s="222"/>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88"/>
    </row>
    <row r="501">
      <c r="A501" s="222"/>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88"/>
    </row>
    <row r="502">
      <c r="A502" s="222"/>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88"/>
    </row>
    <row r="503">
      <c r="A503" s="222"/>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88"/>
    </row>
    <row r="504">
      <c r="A504" s="222"/>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88"/>
    </row>
    <row r="505">
      <c r="A505" s="222"/>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88"/>
    </row>
    <row r="506">
      <c r="A506" s="222"/>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88"/>
    </row>
    <row r="507">
      <c r="A507" s="222"/>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88"/>
    </row>
    <row r="508">
      <c r="A508" s="222"/>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88"/>
    </row>
    <row r="509">
      <c r="A509" s="222"/>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88"/>
    </row>
    <row r="510">
      <c r="A510" s="222"/>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88"/>
    </row>
    <row r="511">
      <c r="A511" s="222"/>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88"/>
    </row>
    <row r="512">
      <c r="A512" s="222"/>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88"/>
    </row>
    <row r="513">
      <c r="A513" s="222"/>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88"/>
    </row>
    <row r="514">
      <c r="A514" s="222"/>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88"/>
    </row>
    <row r="515">
      <c r="A515" s="222"/>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88"/>
    </row>
    <row r="516">
      <c r="A516" s="222"/>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88"/>
    </row>
    <row r="517">
      <c r="A517" s="222"/>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88"/>
    </row>
    <row r="518">
      <c r="A518" s="222"/>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88"/>
    </row>
    <row r="519">
      <c r="A519" s="222"/>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88"/>
    </row>
    <row r="520">
      <c r="A520" s="222"/>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88"/>
    </row>
    <row r="521">
      <c r="A521" s="222"/>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88"/>
    </row>
    <row r="522">
      <c r="A522" s="222"/>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88"/>
    </row>
    <row r="523">
      <c r="A523" s="222"/>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88"/>
    </row>
    <row r="524">
      <c r="A524" s="222"/>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88"/>
    </row>
    <row r="525">
      <c r="A525" s="222"/>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88"/>
    </row>
    <row r="526">
      <c r="A526" s="222"/>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88"/>
    </row>
    <row r="527">
      <c r="A527" s="222"/>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88"/>
    </row>
    <row r="528">
      <c r="A528" s="222"/>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88"/>
    </row>
    <row r="529">
      <c r="A529" s="222"/>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88"/>
    </row>
    <row r="530">
      <c r="A530" s="222"/>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88"/>
    </row>
    <row r="531">
      <c r="A531" s="222"/>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88"/>
    </row>
    <row r="532">
      <c r="A532" s="222"/>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88"/>
    </row>
    <row r="533">
      <c r="A533" s="222"/>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88"/>
    </row>
    <row r="534">
      <c r="A534" s="222"/>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88"/>
    </row>
    <row r="535">
      <c r="A535" s="222"/>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88"/>
    </row>
    <row r="536">
      <c r="A536" s="222"/>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88"/>
    </row>
    <row r="537">
      <c r="A537" s="222"/>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88"/>
    </row>
    <row r="538">
      <c r="A538" s="222"/>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88"/>
    </row>
    <row r="539">
      <c r="A539" s="222"/>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88"/>
    </row>
    <row r="540">
      <c r="A540" s="222"/>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88"/>
    </row>
    <row r="541">
      <c r="A541" s="222"/>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88"/>
    </row>
    <row r="542">
      <c r="A542" s="222"/>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88"/>
    </row>
    <row r="543">
      <c r="A543" s="222"/>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88"/>
    </row>
    <row r="544">
      <c r="A544" s="222"/>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88"/>
    </row>
    <row r="545">
      <c r="A545" s="222"/>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88"/>
    </row>
    <row r="546">
      <c r="A546" s="222"/>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88"/>
    </row>
    <row r="547">
      <c r="A547" s="222"/>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88"/>
    </row>
    <row r="548">
      <c r="A548" s="222"/>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88"/>
    </row>
    <row r="549">
      <c r="A549" s="222"/>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88"/>
    </row>
    <row r="550">
      <c r="A550" s="222"/>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88"/>
    </row>
    <row r="551">
      <c r="A551" s="222"/>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88"/>
    </row>
    <row r="552">
      <c r="A552" s="222"/>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88"/>
    </row>
    <row r="553">
      <c r="A553" s="222"/>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88"/>
    </row>
    <row r="554">
      <c r="A554" s="222"/>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88"/>
    </row>
    <row r="555">
      <c r="A555" s="222"/>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88"/>
    </row>
    <row r="556">
      <c r="A556" s="222"/>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88"/>
    </row>
    <row r="557">
      <c r="A557" s="222"/>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88"/>
    </row>
    <row r="558">
      <c r="A558" s="222"/>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88"/>
    </row>
    <row r="559">
      <c r="A559" s="222"/>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88"/>
    </row>
    <row r="560">
      <c r="A560" s="222"/>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88"/>
    </row>
    <row r="561">
      <c r="A561" s="222"/>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88"/>
    </row>
    <row r="562">
      <c r="A562" s="222"/>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88"/>
    </row>
    <row r="563">
      <c r="A563" s="222"/>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88"/>
    </row>
    <row r="564">
      <c r="A564" s="222"/>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88"/>
    </row>
    <row r="565">
      <c r="A565" s="222"/>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88"/>
    </row>
    <row r="566">
      <c r="A566" s="222"/>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88"/>
    </row>
    <row r="567">
      <c r="A567" s="222"/>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88"/>
    </row>
    <row r="568">
      <c r="A568" s="222"/>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88"/>
    </row>
    <row r="569">
      <c r="A569" s="222"/>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88"/>
    </row>
    <row r="570">
      <c r="A570" s="222"/>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88"/>
    </row>
    <row r="571">
      <c r="A571" s="222"/>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88"/>
    </row>
    <row r="572">
      <c r="A572" s="222"/>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88"/>
    </row>
    <row r="573">
      <c r="A573" s="222"/>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88"/>
    </row>
    <row r="574">
      <c r="A574" s="222"/>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88"/>
    </row>
    <row r="575">
      <c r="A575" s="222"/>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88"/>
    </row>
    <row r="576">
      <c r="A576" s="222"/>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88"/>
    </row>
    <row r="577">
      <c r="A577" s="222"/>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88"/>
    </row>
    <row r="578">
      <c r="A578" s="222"/>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88"/>
    </row>
    <row r="579">
      <c r="A579" s="222"/>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88"/>
    </row>
    <row r="580">
      <c r="A580" s="222"/>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88"/>
    </row>
    <row r="581">
      <c r="A581" s="222"/>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88"/>
    </row>
    <row r="582">
      <c r="A582" s="222"/>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88"/>
    </row>
    <row r="583">
      <c r="A583" s="222"/>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88"/>
    </row>
    <row r="584">
      <c r="A584" s="222"/>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88"/>
    </row>
    <row r="585">
      <c r="A585" s="222"/>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88"/>
    </row>
    <row r="586">
      <c r="A586" s="222"/>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88"/>
    </row>
    <row r="587">
      <c r="A587" s="222"/>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88"/>
    </row>
    <row r="588">
      <c r="A588" s="222"/>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88"/>
    </row>
    <row r="589">
      <c r="A589" s="222"/>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88"/>
    </row>
    <row r="590">
      <c r="A590" s="222"/>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88"/>
    </row>
    <row r="591">
      <c r="A591" s="222"/>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88"/>
    </row>
    <row r="592">
      <c r="A592" s="222"/>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88"/>
    </row>
    <row r="593">
      <c r="A593" s="222"/>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88"/>
    </row>
    <row r="594">
      <c r="A594" s="222"/>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88"/>
    </row>
    <row r="595">
      <c r="A595" s="222"/>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88"/>
    </row>
    <row r="596">
      <c r="A596" s="222"/>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88"/>
    </row>
    <row r="597">
      <c r="A597" s="222"/>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88"/>
    </row>
    <row r="598">
      <c r="A598" s="222"/>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88"/>
    </row>
    <row r="599">
      <c r="A599" s="222"/>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88"/>
    </row>
    <row r="600">
      <c r="A600" s="222"/>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88"/>
    </row>
    <row r="601">
      <c r="A601" s="222"/>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88"/>
    </row>
    <row r="602">
      <c r="A602" s="222"/>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88"/>
    </row>
    <row r="603">
      <c r="A603" s="222"/>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88"/>
    </row>
    <row r="604">
      <c r="A604" s="222"/>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88"/>
    </row>
    <row r="605">
      <c r="A605" s="222"/>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88"/>
    </row>
    <row r="606">
      <c r="A606" s="222"/>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88"/>
    </row>
    <row r="607">
      <c r="A607" s="222"/>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88"/>
    </row>
    <row r="608">
      <c r="A608" s="222"/>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88"/>
    </row>
    <row r="609">
      <c r="A609" s="222"/>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88"/>
    </row>
    <row r="610">
      <c r="A610" s="222"/>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88"/>
    </row>
    <row r="611">
      <c r="A611" s="222"/>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88"/>
    </row>
    <row r="612">
      <c r="A612" s="222"/>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88"/>
    </row>
    <row r="613">
      <c r="A613" s="222"/>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88"/>
    </row>
    <row r="614">
      <c r="A614" s="222"/>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88"/>
    </row>
    <row r="615">
      <c r="A615" s="222"/>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88"/>
    </row>
    <row r="616">
      <c r="A616" s="222"/>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88"/>
    </row>
    <row r="617">
      <c r="A617" s="222"/>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88"/>
    </row>
    <row r="618">
      <c r="A618" s="222"/>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88"/>
    </row>
    <row r="619">
      <c r="A619" s="222"/>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88"/>
    </row>
    <row r="620">
      <c r="A620" s="222"/>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88"/>
    </row>
    <row r="621">
      <c r="A621" s="222"/>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88"/>
    </row>
    <row r="622">
      <c r="A622" s="222"/>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88"/>
    </row>
    <row r="623">
      <c r="A623" s="222"/>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88"/>
    </row>
    <row r="624">
      <c r="A624" s="222"/>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88"/>
    </row>
    <row r="625">
      <c r="A625" s="222"/>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88"/>
    </row>
    <row r="626">
      <c r="A626" s="222"/>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88"/>
    </row>
    <row r="627">
      <c r="A627" s="222"/>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88"/>
    </row>
    <row r="628">
      <c r="A628" s="222"/>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88"/>
    </row>
    <row r="629">
      <c r="A629" s="222"/>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88"/>
    </row>
    <row r="630">
      <c r="A630" s="222"/>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88"/>
    </row>
    <row r="631">
      <c r="A631" s="222"/>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88"/>
    </row>
    <row r="632">
      <c r="A632" s="222"/>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88"/>
    </row>
    <row r="633">
      <c r="A633" s="222"/>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88"/>
    </row>
    <row r="634">
      <c r="A634" s="222"/>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88"/>
    </row>
    <row r="635">
      <c r="A635" s="222"/>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88"/>
    </row>
    <row r="636">
      <c r="A636" s="222"/>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88"/>
    </row>
    <row r="637">
      <c r="A637" s="222"/>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88"/>
    </row>
    <row r="638">
      <c r="A638" s="222"/>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88"/>
    </row>
    <row r="639">
      <c r="A639" s="222"/>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88"/>
    </row>
    <row r="640">
      <c r="A640" s="222"/>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88"/>
    </row>
    <row r="641">
      <c r="A641" s="222"/>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88"/>
    </row>
    <row r="642">
      <c r="A642" s="222"/>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88"/>
    </row>
    <row r="643">
      <c r="A643" s="222"/>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88"/>
    </row>
    <row r="644">
      <c r="A644" s="222"/>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88"/>
    </row>
    <row r="645">
      <c r="A645" s="222"/>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88"/>
    </row>
    <row r="646">
      <c r="A646" s="222"/>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88"/>
    </row>
    <row r="647">
      <c r="A647" s="222"/>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88"/>
    </row>
    <row r="648">
      <c r="A648" s="222"/>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88"/>
    </row>
    <row r="649">
      <c r="A649" s="222"/>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88"/>
    </row>
    <row r="650">
      <c r="A650" s="222"/>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88"/>
    </row>
    <row r="651">
      <c r="A651" s="222"/>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88"/>
    </row>
    <row r="652">
      <c r="A652" s="222"/>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88"/>
    </row>
    <row r="653">
      <c r="A653" s="222"/>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88"/>
    </row>
    <row r="654">
      <c r="A654" s="222"/>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88"/>
    </row>
    <row r="655">
      <c r="A655" s="222"/>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88"/>
    </row>
    <row r="656">
      <c r="A656" s="222"/>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88"/>
    </row>
    <row r="657">
      <c r="A657" s="222"/>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88"/>
    </row>
    <row r="658">
      <c r="A658" s="222"/>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88"/>
    </row>
    <row r="659">
      <c r="A659" s="222"/>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88"/>
    </row>
    <row r="660">
      <c r="A660" s="222"/>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88"/>
    </row>
    <row r="661">
      <c r="A661" s="222"/>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88"/>
    </row>
    <row r="662">
      <c r="A662" s="222"/>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88"/>
    </row>
    <row r="663">
      <c r="A663" s="222"/>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88"/>
    </row>
    <row r="664">
      <c r="A664" s="222"/>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88"/>
    </row>
    <row r="665">
      <c r="A665" s="222"/>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88"/>
    </row>
    <row r="666">
      <c r="A666" s="222"/>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88"/>
    </row>
    <row r="667">
      <c r="A667" s="222"/>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88"/>
    </row>
    <row r="668">
      <c r="A668" s="222"/>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88"/>
    </row>
    <row r="669">
      <c r="A669" s="222"/>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88"/>
    </row>
    <row r="670">
      <c r="A670" s="222"/>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88"/>
    </row>
    <row r="671">
      <c r="A671" s="222"/>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88"/>
    </row>
    <row r="672">
      <c r="A672" s="222"/>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88"/>
    </row>
    <row r="673">
      <c r="A673" s="222"/>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88"/>
    </row>
    <row r="674">
      <c r="A674" s="222"/>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88"/>
    </row>
    <row r="675">
      <c r="A675" s="222"/>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88"/>
    </row>
    <row r="676">
      <c r="A676" s="222"/>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88"/>
    </row>
    <row r="677">
      <c r="A677" s="222"/>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88"/>
    </row>
    <row r="678">
      <c r="A678" s="222"/>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88"/>
    </row>
    <row r="679">
      <c r="A679" s="222"/>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88"/>
    </row>
    <row r="680">
      <c r="A680" s="222"/>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88"/>
    </row>
    <row r="681">
      <c r="A681" s="222"/>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88"/>
    </row>
    <row r="682">
      <c r="A682" s="222"/>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88"/>
    </row>
    <row r="683">
      <c r="A683" s="222"/>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88"/>
    </row>
    <row r="684">
      <c r="A684" s="222"/>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88"/>
    </row>
    <row r="685">
      <c r="A685" s="222"/>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88"/>
    </row>
    <row r="686">
      <c r="A686" s="222"/>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88"/>
    </row>
    <row r="687">
      <c r="A687" s="222"/>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88"/>
    </row>
    <row r="688">
      <c r="A688" s="222"/>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88"/>
    </row>
    <row r="689">
      <c r="A689" s="222"/>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88"/>
    </row>
    <row r="690">
      <c r="A690" s="222"/>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88"/>
    </row>
    <row r="691">
      <c r="A691" s="222"/>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88"/>
    </row>
    <row r="692">
      <c r="A692" s="222"/>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88"/>
    </row>
    <row r="693">
      <c r="A693" s="222"/>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88"/>
    </row>
    <row r="694">
      <c r="A694" s="222"/>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88"/>
    </row>
    <row r="695">
      <c r="A695" s="222"/>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88"/>
    </row>
    <row r="696">
      <c r="A696" s="222"/>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88"/>
    </row>
    <row r="697">
      <c r="A697" s="222"/>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88"/>
    </row>
    <row r="698">
      <c r="A698" s="222"/>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88"/>
    </row>
    <row r="699">
      <c r="A699" s="222"/>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88"/>
    </row>
    <row r="700">
      <c r="A700" s="222"/>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88"/>
    </row>
    <row r="701">
      <c r="A701" s="222"/>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88"/>
    </row>
    <row r="702">
      <c r="A702" s="222"/>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88"/>
    </row>
    <row r="703">
      <c r="A703" s="222"/>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88"/>
    </row>
    <row r="704">
      <c r="A704" s="222"/>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88"/>
    </row>
    <row r="705">
      <c r="A705" s="222"/>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88"/>
    </row>
    <row r="706">
      <c r="A706" s="222"/>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88"/>
    </row>
    <row r="707">
      <c r="A707" s="222"/>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88"/>
    </row>
    <row r="708">
      <c r="A708" s="222"/>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88"/>
    </row>
    <row r="709">
      <c r="A709" s="222"/>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88"/>
    </row>
    <row r="710">
      <c r="A710" s="222"/>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88"/>
    </row>
    <row r="711">
      <c r="A711" s="222"/>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88"/>
    </row>
    <row r="712">
      <c r="A712" s="222"/>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88"/>
    </row>
    <row r="713">
      <c r="A713" s="222"/>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88"/>
    </row>
    <row r="714">
      <c r="A714" s="222"/>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88"/>
    </row>
    <row r="715">
      <c r="A715" s="222"/>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88"/>
    </row>
    <row r="716">
      <c r="A716" s="222"/>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88"/>
    </row>
    <row r="717">
      <c r="A717" s="222"/>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88"/>
    </row>
    <row r="718">
      <c r="A718" s="222"/>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88"/>
    </row>
    <row r="719">
      <c r="A719" s="222"/>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88"/>
    </row>
    <row r="720">
      <c r="A720" s="222"/>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88"/>
    </row>
    <row r="721">
      <c r="A721" s="222"/>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88"/>
    </row>
    <row r="722">
      <c r="A722" s="222"/>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88"/>
    </row>
    <row r="723">
      <c r="A723" s="222"/>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88"/>
    </row>
    <row r="724">
      <c r="A724" s="222"/>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88"/>
    </row>
    <row r="725">
      <c r="A725" s="222"/>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88"/>
    </row>
    <row r="726">
      <c r="A726" s="222"/>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88"/>
    </row>
    <row r="727">
      <c r="A727" s="222"/>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88"/>
    </row>
    <row r="728">
      <c r="A728" s="222"/>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88"/>
    </row>
    <row r="729">
      <c r="A729" s="222"/>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88"/>
    </row>
    <row r="730">
      <c r="A730" s="222"/>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88"/>
    </row>
    <row r="731">
      <c r="A731" s="222"/>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88"/>
    </row>
    <row r="732">
      <c r="A732" s="222"/>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88"/>
    </row>
    <row r="733">
      <c r="A733" s="222"/>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88"/>
    </row>
    <row r="734">
      <c r="A734" s="222"/>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88"/>
    </row>
    <row r="735">
      <c r="A735" s="222"/>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88"/>
    </row>
    <row r="736">
      <c r="A736" s="222"/>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88"/>
    </row>
    <row r="737">
      <c r="A737" s="222"/>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88"/>
    </row>
    <row r="738">
      <c r="A738" s="222"/>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88"/>
    </row>
    <row r="739">
      <c r="A739" s="222"/>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88"/>
    </row>
    <row r="740">
      <c r="A740" s="222"/>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88"/>
    </row>
    <row r="741">
      <c r="A741" s="222"/>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88"/>
    </row>
    <row r="742">
      <c r="A742" s="222"/>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88"/>
    </row>
    <row r="743">
      <c r="A743" s="222"/>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88"/>
    </row>
    <row r="744">
      <c r="A744" s="222"/>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88"/>
    </row>
    <row r="745">
      <c r="A745" s="222"/>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88"/>
    </row>
    <row r="746">
      <c r="A746" s="222"/>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88"/>
    </row>
    <row r="747">
      <c r="A747" s="222"/>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88"/>
    </row>
    <row r="748">
      <c r="A748" s="222"/>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88"/>
    </row>
    <row r="749">
      <c r="A749" s="222"/>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88"/>
    </row>
    <row r="750">
      <c r="A750" s="222"/>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88"/>
    </row>
    <row r="751">
      <c r="A751" s="222"/>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88"/>
    </row>
    <row r="752">
      <c r="A752" s="222"/>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88"/>
    </row>
    <row r="753">
      <c r="A753" s="222"/>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88"/>
    </row>
    <row r="754">
      <c r="A754" s="222"/>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88"/>
    </row>
    <row r="755">
      <c r="A755" s="222"/>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88"/>
    </row>
    <row r="756">
      <c r="A756" s="222"/>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88"/>
    </row>
    <row r="757">
      <c r="A757" s="222"/>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88"/>
    </row>
    <row r="758">
      <c r="A758" s="222"/>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88"/>
    </row>
    <row r="759">
      <c r="A759" s="222"/>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88"/>
    </row>
    <row r="760">
      <c r="A760" s="222"/>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88"/>
    </row>
    <row r="761">
      <c r="A761" s="222"/>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88"/>
    </row>
    <row r="762">
      <c r="A762" s="222"/>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88"/>
    </row>
    <row r="763">
      <c r="A763" s="222"/>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88"/>
    </row>
    <row r="764">
      <c r="A764" s="222"/>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88"/>
    </row>
    <row r="765">
      <c r="A765" s="222"/>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88"/>
    </row>
    <row r="766">
      <c r="A766" s="222"/>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88"/>
    </row>
    <row r="767">
      <c r="A767" s="222"/>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88"/>
    </row>
    <row r="768">
      <c r="A768" s="222"/>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88"/>
    </row>
    <row r="769">
      <c r="A769" s="222"/>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88"/>
    </row>
    <row r="770">
      <c r="A770" s="222"/>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88"/>
    </row>
    <row r="771">
      <c r="A771" s="222"/>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88"/>
    </row>
    <row r="772">
      <c r="A772" s="222"/>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88"/>
    </row>
    <row r="773">
      <c r="A773" s="222"/>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88"/>
    </row>
    <row r="774">
      <c r="A774" s="222"/>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88"/>
    </row>
    <row r="775">
      <c r="A775" s="222"/>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88"/>
    </row>
    <row r="776">
      <c r="A776" s="222"/>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88"/>
    </row>
    <row r="777">
      <c r="A777" s="222"/>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88"/>
    </row>
    <row r="778">
      <c r="A778" s="222"/>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88"/>
    </row>
    <row r="779">
      <c r="A779" s="222"/>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88"/>
    </row>
    <row r="780">
      <c r="A780" s="222"/>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88"/>
    </row>
    <row r="781">
      <c r="A781" s="222"/>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88"/>
    </row>
    <row r="782">
      <c r="A782" s="222"/>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88"/>
    </row>
    <row r="783">
      <c r="A783" s="222"/>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88"/>
    </row>
    <row r="784">
      <c r="A784" s="222"/>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88"/>
    </row>
    <row r="785">
      <c r="A785" s="222"/>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88"/>
    </row>
    <row r="786">
      <c r="A786" s="222"/>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88"/>
    </row>
    <row r="787">
      <c r="A787" s="222"/>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88"/>
    </row>
    <row r="788">
      <c r="A788" s="222"/>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88"/>
    </row>
    <row r="789">
      <c r="A789" s="222"/>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88"/>
    </row>
    <row r="790">
      <c r="A790" s="222"/>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88"/>
    </row>
    <row r="791">
      <c r="A791" s="222"/>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88"/>
    </row>
    <row r="792">
      <c r="A792" s="222"/>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88"/>
    </row>
    <row r="793">
      <c r="A793" s="222"/>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88"/>
    </row>
    <row r="794">
      <c r="A794" s="222"/>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88"/>
    </row>
    <row r="795">
      <c r="A795" s="222"/>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88"/>
    </row>
    <row r="796">
      <c r="A796" s="222"/>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88"/>
    </row>
    <row r="797">
      <c r="A797" s="222"/>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88"/>
    </row>
    <row r="798">
      <c r="A798" s="222"/>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88"/>
    </row>
    <row r="799">
      <c r="A799" s="222"/>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88"/>
    </row>
    <row r="800">
      <c r="A800" s="222"/>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88"/>
    </row>
    <row r="801">
      <c r="A801" s="222"/>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88"/>
    </row>
    <row r="802">
      <c r="A802" s="222"/>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88"/>
    </row>
    <row r="803">
      <c r="A803" s="222"/>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88"/>
    </row>
    <row r="804">
      <c r="A804" s="222"/>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88"/>
    </row>
    <row r="805">
      <c r="A805" s="222"/>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88"/>
    </row>
    <row r="806">
      <c r="A806" s="222"/>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88"/>
    </row>
    <row r="807">
      <c r="A807" s="222"/>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88"/>
    </row>
    <row r="808">
      <c r="A808" s="222"/>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88"/>
    </row>
    <row r="809">
      <c r="A809" s="222"/>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88"/>
    </row>
    <row r="810">
      <c r="A810" s="222"/>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88"/>
    </row>
    <row r="811">
      <c r="A811" s="222"/>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88"/>
    </row>
    <row r="812">
      <c r="A812" s="222"/>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88"/>
    </row>
    <row r="813">
      <c r="A813" s="222"/>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88"/>
    </row>
    <row r="814">
      <c r="A814" s="222"/>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88"/>
    </row>
    <row r="815">
      <c r="A815" s="222"/>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88"/>
    </row>
    <row r="816">
      <c r="A816" s="222"/>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88"/>
    </row>
    <row r="817">
      <c r="A817" s="222"/>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88"/>
    </row>
    <row r="818">
      <c r="A818" s="222"/>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88"/>
    </row>
    <row r="819">
      <c r="A819" s="222"/>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88"/>
    </row>
    <row r="820">
      <c r="A820" s="222"/>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88"/>
    </row>
    <row r="821">
      <c r="A821" s="222"/>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88"/>
    </row>
    <row r="822">
      <c r="A822" s="222"/>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88"/>
    </row>
    <row r="823">
      <c r="A823" s="222"/>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88"/>
    </row>
    <row r="824">
      <c r="A824" s="222"/>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88"/>
    </row>
    <row r="825">
      <c r="A825" s="222"/>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88"/>
    </row>
    <row r="826">
      <c r="A826" s="222"/>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88"/>
    </row>
    <row r="827">
      <c r="A827" s="222"/>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88"/>
    </row>
    <row r="828">
      <c r="A828" s="222"/>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88"/>
    </row>
    <row r="829">
      <c r="A829" s="222"/>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88"/>
    </row>
    <row r="830">
      <c r="A830" s="222"/>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88"/>
    </row>
    <row r="831">
      <c r="A831" s="222"/>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88"/>
    </row>
    <row r="832">
      <c r="A832" s="222"/>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88"/>
    </row>
    <row r="833">
      <c r="A833" s="222"/>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88"/>
    </row>
    <row r="834">
      <c r="A834" s="222"/>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88"/>
    </row>
    <row r="835">
      <c r="A835" s="222"/>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88"/>
    </row>
    <row r="836">
      <c r="A836" s="222"/>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88"/>
    </row>
    <row r="837">
      <c r="A837" s="222"/>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88"/>
    </row>
    <row r="838">
      <c r="A838" s="222"/>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88"/>
    </row>
    <row r="839">
      <c r="A839" s="222"/>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88"/>
    </row>
    <row r="840">
      <c r="A840" s="222"/>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88"/>
    </row>
    <row r="841">
      <c r="A841" s="222"/>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88"/>
    </row>
    <row r="842">
      <c r="A842" s="222"/>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88"/>
    </row>
    <row r="843">
      <c r="A843" s="222"/>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88"/>
    </row>
    <row r="844">
      <c r="A844" s="222"/>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88"/>
    </row>
    <row r="845">
      <c r="A845" s="222"/>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88"/>
    </row>
    <row r="846">
      <c r="A846" s="222"/>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88"/>
    </row>
    <row r="847">
      <c r="A847" s="222"/>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88"/>
    </row>
    <row r="848">
      <c r="A848" s="222"/>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88"/>
    </row>
    <row r="849">
      <c r="A849" s="222"/>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88"/>
    </row>
    <row r="850">
      <c r="A850" s="222"/>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88"/>
    </row>
    <row r="851">
      <c r="A851" s="222"/>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88"/>
    </row>
    <row r="852">
      <c r="A852" s="222"/>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88"/>
    </row>
    <row r="853">
      <c r="A853" s="222"/>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88"/>
    </row>
    <row r="854">
      <c r="A854" s="222"/>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88"/>
    </row>
    <row r="855">
      <c r="A855" s="222"/>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88"/>
    </row>
    <row r="856">
      <c r="A856" s="222"/>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88"/>
    </row>
    <row r="857">
      <c r="A857" s="222"/>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88"/>
    </row>
    <row r="858">
      <c r="A858" s="222"/>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88"/>
    </row>
    <row r="859">
      <c r="A859" s="222"/>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88"/>
    </row>
    <row r="860">
      <c r="A860" s="222"/>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88"/>
    </row>
    <row r="861">
      <c r="A861" s="222"/>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88"/>
    </row>
    <row r="862">
      <c r="A862" s="222"/>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88"/>
    </row>
    <row r="863">
      <c r="A863" s="222"/>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88"/>
    </row>
    <row r="864">
      <c r="A864" s="222"/>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88"/>
    </row>
    <row r="865">
      <c r="A865" s="222"/>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88"/>
    </row>
    <row r="866">
      <c r="A866" s="222"/>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88"/>
    </row>
    <row r="867">
      <c r="A867" s="222"/>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88"/>
    </row>
    <row r="868">
      <c r="A868" s="222"/>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88"/>
    </row>
    <row r="869">
      <c r="A869" s="222"/>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88"/>
    </row>
    <row r="870">
      <c r="A870" s="222"/>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88"/>
    </row>
    <row r="871">
      <c r="A871" s="222"/>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88"/>
    </row>
    <row r="872">
      <c r="A872" s="222"/>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88"/>
    </row>
    <row r="873">
      <c r="A873" s="222"/>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88"/>
    </row>
    <row r="874">
      <c r="A874" s="222"/>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88"/>
    </row>
    <row r="875">
      <c r="A875" s="222"/>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88"/>
    </row>
    <row r="876">
      <c r="A876" s="222"/>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88"/>
    </row>
    <row r="877">
      <c r="A877" s="222"/>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88"/>
    </row>
    <row r="878">
      <c r="A878" s="222"/>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88"/>
    </row>
    <row r="879">
      <c r="A879" s="222"/>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88"/>
    </row>
    <row r="880">
      <c r="A880" s="222"/>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88"/>
    </row>
    <row r="881">
      <c r="A881" s="222"/>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88"/>
    </row>
    <row r="882">
      <c r="A882" s="222"/>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88"/>
    </row>
    <row r="883">
      <c r="A883" s="222"/>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88"/>
    </row>
    <row r="884">
      <c r="A884" s="222"/>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88"/>
    </row>
    <row r="885">
      <c r="A885" s="222"/>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88"/>
    </row>
    <row r="886">
      <c r="A886" s="222"/>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88"/>
    </row>
    <row r="887">
      <c r="A887" s="222"/>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88"/>
    </row>
    <row r="888">
      <c r="A888" s="222"/>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88"/>
    </row>
    <row r="889">
      <c r="A889" s="222"/>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88"/>
    </row>
    <row r="890">
      <c r="A890" s="222"/>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88"/>
    </row>
    <row r="891">
      <c r="A891" s="222"/>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88"/>
    </row>
    <row r="892">
      <c r="A892" s="222"/>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88"/>
    </row>
    <row r="893">
      <c r="A893" s="222"/>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88"/>
    </row>
    <row r="894">
      <c r="A894" s="222"/>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88"/>
    </row>
    <row r="895">
      <c r="A895" s="222"/>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88"/>
    </row>
    <row r="896">
      <c r="A896" s="222"/>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88"/>
    </row>
    <row r="897">
      <c r="A897" s="222"/>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88"/>
    </row>
    <row r="898">
      <c r="A898" s="222"/>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88"/>
    </row>
    <row r="899">
      <c r="A899" s="222"/>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88"/>
    </row>
    <row r="900">
      <c r="A900" s="222"/>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88"/>
    </row>
    <row r="901">
      <c r="A901" s="222"/>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88"/>
    </row>
    <row r="902">
      <c r="A902" s="222"/>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88"/>
    </row>
    <row r="903">
      <c r="A903" s="222"/>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88"/>
    </row>
    <row r="904">
      <c r="A904" s="222"/>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88"/>
    </row>
    <row r="905">
      <c r="A905" s="222"/>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88"/>
    </row>
    <row r="906">
      <c r="A906" s="222"/>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88"/>
    </row>
    <row r="907">
      <c r="A907" s="222"/>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88"/>
    </row>
    <row r="908">
      <c r="A908" s="222"/>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88"/>
    </row>
    <row r="909">
      <c r="A909" s="222"/>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88"/>
    </row>
    <row r="910">
      <c r="A910" s="222"/>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88"/>
    </row>
    <row r="911">
      <c r="A911" s="222"/>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88"/>
    </row>
    <row r="912">
      <c r="A912" s="222"/>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88"/>
    </row>
    <row r="913">
      <c r="A913" s="222"/>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88"/>
    </row>
    <row r="914">
      <c r="A914" s="222"/>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88"/>
    </row>
    <row r="915">
      <c r="A915" s="222"/>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88"/>
    </row>
    <row r="916">
      <c r="A916" s="222"/>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88"/>
    </row>
    <row r="917">
      <c r="A917" s="222"/>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88"/>
    </row>
    <row r="918">
      <c r="A918" s="222"/>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88"/>
    </row>
    <row r="919">
      <c r="A919" s="222"/>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88"/>
    </row>
    <row r="920">
      <c r="A920" s="222"/>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88"/>
    </row>
    <row r="921">
      <c r="A921" s="222"/>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88"/>
    </row>
    <row r="922">
      <c r="A922" s="222"/>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88"/>
    </row>
    <row r="923">
      <c r="A923" s="222"/>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88"/>
    </row>
    <row r="924">
      <c r="A924" s="222"/>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88"/>
    </row>
    <row r="925">
      <c r="A925" s="222"/>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88"/>
    </row>
    <row r="926">
      <c r="A926" s="222"/>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88"/>
    </row>
    <row r="927">
      <c r="A927" s="222"/>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88"/>
    </row>
    <row r="928">
      <c r="A928" s="222"/>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88"/>
    </row>
    <row r="929">
      <c r="A929" s="222"/>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88"/>
    </row>
    <row r="930">
      <c r="A930" s="222"/>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88"/>
    </row>
    <row r="931">
      <c r="A931" s="222"/>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88"/>
    </row>
    <row r="932">
      <c r="A932" s="222"/>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88"/>
    </row>
    <row r="933">
      <c r="A933" s="222"/>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88"/>
    </row>
    <row r="934">
      <c r="A934" s="222"/>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88"/>
    </row>
    <row r="935">
      <c r="A935" s="222"/>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88"/>
    </row>
    <row r="936">
      <c r="A936" s="222"/>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88"/>
    </row>
    <row r="937">
      <c r="A937" s="222"/>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88"/>
    </row>
    <row r="938">
      <c r="A938" s="222"/>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88"/>
    </row>
    <row r="939">
      <c r="A939" s="222"/>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88"/>
    </row>
    <row r="940">
      <c r="A940" s="222"/>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88"/>
    </row>
    <row r="941">
      <c r="A941" s="222"/>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88"/>
    </row>
    <row r="942">
      <c r="A942" s="222"/>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88"/>
    </row>
    <row r="943">
      <c r="A943" s="222"/>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88"/>
    </row>
    <row r="944">
      <c r="A944" s="222"/>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88"/>
    </row>
    <row r="945">
      <c r="A945" s="222"/>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88"/>
    </row>
    <row r="946">
      <c r="A946" s="222"/>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88"/>
    </row>
    <row r="947">
      <c r="A947" s="222"/>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88"/>
    </row>
    <row r="948">
      <c r="A948" s="222"/>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88"/>
    </row>
    <row r="949">
      <c r="A949" s="222"/>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88"/>
    </row>
    <row r="950">
      <c r="A950" s="222"/>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88"/>
    </row>
    <row r="951">
      <c r="A951" s="222"/>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88"/>
    </row>
    <row r="952">
      <c r="A952" s="222"/>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88"/>
    </row>
    <row r="953">
      <c r="A953" s="222"/>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88"/>
    </row>
    <row r="954">
      <c r="A954" s="222"/>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88"/>
    </row>
    <row r="955">
      <c r="A955" s="222"/>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88"/>
    </row>
    <row r="956">
      <c r="A956" s="222"/>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88"/>
    </row>
    <row r="957">
      <c r="A957" s="222"/>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88"/>
    </row>
    <row r="958">
      <c r="A958" s="222"/>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88"/>
    </row>
    <row r="959">
      <c r="A959" s="222"/>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88"/>
    </row>
    <row r="960">
      <c r="A960" s="222"/>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88"/>
    </row>
    <row r="961">
      <c r="A961" s="222"/>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88"/>
    </row>
    <row r="962">
      <c r="A962" s="222"/>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88"/>
    </row>
    <row r="963">
      <c r="A963" s="222"/>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88"/>
    </row>
    <row r="964">
      <c r="A964" s="222"/>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88"/>
    </row>
    <row r="965">
      <c r="A965" s="222"/>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88"/>
    </row>
    <row r="966">
      <c r="A966" s="222"/>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88"/>
    </row>
    <row r="967">
      <c r="A967" s="222"/>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88"/>
    </row>
    <row r="968">
      <c r="A968" s="222"/>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88"/>
    </row>
    <row r="969">
      <c r="A969" s="222"/>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88"/>
    </row>
    <row r="970">
      <c r="A970" s="222"/>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88"/>
    </row>
    <row r="971">
      <c r="A971" s="222"/>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88"/>
    </row>
    <row r="972">
      <c r="A972" s="222"/>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88"/>
    </row>
    <row r="973">
      <c r="A973" s="222"/>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88"/>
    </row>
    <row r="974">
      <c r="A974" s="222"/>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88"/>
    </row>
    <row r="975">
      <c r="A975" s="222"/>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88"/>
    </row>
    <row r="976">
      <c r="A976" s="222"/>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88"/>
    </row>
    <row r="977">
      <c r="A977" s="222"/>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88"/>
    </row>
    <row r="978">
      <c r="A978" s="222"/>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88"/>
    </row>
    <row r="979">
      <c r="A979" s="222"/>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88"/>
    </row>
    <row r="980">
      <c r="A980" s="222"/>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88"/>
    </row>
    <row r="981">
      <c r="A981" s="222"/>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88"/>
    </row>
    <row r="982">
      <c r="A982" s="222"/>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88"/>
    </row>
    <row r="983">
      <c r="A983" s="222"/>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88"/>
    </row>
    <row r="984">
      <c r="A984" s="222"/>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88"/>
    </row>
    <row r="985">
      <c r="A985" s="222"/>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88"/>
    </row>
    <row r="986">
      <c r="A986" s="222"/>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88"/>
    </row>
    <row r="987">
      <c r="A987" s="222"/>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88"/>
    </row>
    <row r="988">
      <c r="A988" s="222"/>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88"/>
    </row>
    <row r="989">
      <c r="A989" s="222"/>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88"/>
    </row>
    <row r="990">
      <c r="A990" s="222"/>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88"/>
    </row>
    <row r="991">
      <c r="A991" s="222"/>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88"/>
    </row>
    <row r="992">
      <c r="A992" s="222"/>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88"/>
    </row>
    <row r="993">
      <c r="A993" s="222"/>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88"/>
    </row>
    <row r="994">
      <c r="A994" s="222"/>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88"/>
    </row>
    <row r="995">
      <c r="A995" s="222"/>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88"/>
    </row>
    <row r="996">
      <c r="A996" s="222"/>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88"/>
    </row>
    <row r="997">
      <c r="A997" s="222"/>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88"/>
    </row>
    <row r="998">
      <c r="A998" s="222"/>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88"/>
    </row>
    <row r="999">
      <c r="A999" s="222"/>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88"/>
    </row>
    <row r="1000">
      <c r="A1000" s="225"/>
      <c r="B1000" s="226"/>
      <c r="C1000" s="226"/>
      <c r="D1000" s="226"/>
      <c r="E1000" s="226"/>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7"/>
    </row>
  </sheetData>
  <mergeCells count="13">
    <mergeCell ref="G3:G10"/>
    <mergeCell ref="G13:G20"/>
    <mergeCell ref="C13:C20"/>
    <mergeCell ref="C23:C30"/>
    <mergeCell ref="D23:D30"/>
    <mergeCell ref="G23:G30"/>
    <mergeCell ref="A1:J1"/>
    <mergeCell ref="A3:A10"/>
    <mergeCell ref="C3:C10"/>
    <mergeCell ref="D3:D10"/>
    <mergeCell ref="A13:A20"/>
    <mergeCell ref="D13:D20"/>
    <mergeCell ref="A23:A30"/>
  </mergeCells>
  <conditionalFormatting sqref="H3:J10 H13:J20 H23:J30">
    <cfRule type="cellIs" dxfId="6" priority="1" operator="equal">
      <formula>"Open"</formula>
    </cfRule>
  </conditionalFormatting>
  <conditionalFormatting sqref="H3:J10 H13:J20 H23:J30">
    <cfRule type="cellIs" dxfId="7" priority="2" operator="equal">
      <formula>"Closed"</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13"/>
    <col customWidth="1" min="8" max="8" width="29.38"/>
    <col customWidth="1" min="9" max="9" width="15.13"/>
  </cols>
  <sheetData>
    <row r="1">
      <c r="A1" s="39" t="s">
        <v>201</v>
      </c>
      <c r="K1" s="182"/>
      <c r="L1" s="182"/>
      <c r="M1" s="182"/>
      <c r="N1" s="182"/>
      <c r="O1" s="182"/>
      <c r="P1" s="182"/>
      <c r="Q1" s="182"/>
      <c r="R1" s="182"/>
      <c r="S1" s="182"/>
      <c r="T1" s="182"/>
      <c r="U1" s="182"/>
      <c r="V1" s="182"/>
      <c r="W1" s="182"/>
      <c r="X1" s="182"/>
      <c r="Y1" s="182"/>
      <c r="Z1" s="182"/>
      <c r="AA1" s="183"/>
    </row>
    <row r="2">
      <c r="A2" s="152" t="s">
        <v>146</v>
      </c>
      <c r="B2" s="179" t="s">
        <v>147</v>
      </c>
      <c r="C2" s="152" t="s">
        <v>148</v>
      </c>
      <c r="D2" s="152" t="s">
        <v>149</v>
      </c>
      <c r="E2" s="179" t="s">
        <v>150</v>
      </c>
      <c r="F2" s="180" t="s">
        <v>112</v>
      </c>
      <c r="G2" s="179" t="s">
        <v>151</v>
      </c>
      <c r="H2" s="179" t="s">
        <v>200</v>
      </c>
      <c r="I2" s="179" t="s">
        <v>113</v>
      </c>
      <c r="J2" s="179" t="s">
        <v>154</v>
      </c>
      <c r="K2" s="178"/>
      <c r="L2" s="178"/>
      <c r="M2" s="178"/>
      <c r="N2" s="178"/>
      <c r="O2" s="178"/>
      <c r="P2" s="178"/>
      <c r="Q2" s="178"/>
      <c r="R2" s="178"/>
      <c r="S2" s="178"/>
      <c r="T2" s="178"/>
      <c r="U2" s="178"/>
      <c r="V2" s="178"/>
      <c r="W2" s="178"/>
      <c r="X2" s="178"/>
      <c r="Y2" s="178"/>
      <c r="Z2" s="178"/>
      <c r="AA2" s="188"/>
    </row>
    <row r="3">
      <c r="A3" s="51">
        <v>142090.0</v>
      </c>
      <c r="B3" s="155">
        <v>45773.0</v>
      </c>
      <c r="C3" s="51" t="s">
        <v>61</v>
      </c>
      <c r="D3" s="51">
        <v>50000.0</v>
      </c>
      <c r="E3" s="150">
        <v>0.0</v>
      </c>
      <c r="F3" s="150">
        <f>D3-E3</f>
        <v>50000</v>
      </c>
      <c r="G3" s="156">
        <v>2825.0</v>
      </c>
      <c r="H3" s="158">
        <f t="shared" ref="H3:H10" si="1">IF(E3="","",(SUM($G$3*E3)))</f>
        <v>0</v>
      </c>
      <c r="I3" s="158">
        <f>F3*G3</f>
        <v>141250000</v>
      </c>
      <c r="J3" s="159" t="str">
        <f>IF(OR(D3="",E3=""),"",IF(F3&lt;=0,"Closed","Open"))</f>
        <v>Open</v>
      </c>
      <c r="K3" s="178"/>
      <c r="L3" s="178"/>
      <c r="M3" s="178"/>
      <c r="N3" s="178"/>
      <c r="O3" s="178"/>
      <c r="P3" s="178"/>
      <c r="Q3" s="178"/>
      <c r="R3" s="178"/>
      <c r="S3" s="178"/>
      <c r="T3" s="178"/>
      <c r="U3" s="178"/>
      <c r="V3" s="178"/>
      <c r="W3" s="178"/>
      <c r="X3" s="178"/>
      <c r="Y3" s="178"/>
      <c r="Z3" s="178"/>
      <c r="AA3" s="188"/>
    </row>
    <row r="4">
      <c r="A4" s="94"/>
      <c r="B4" s="160"/>
      <c r="C4" s="94"/>
      <c r="D4" s="94"/>
      <c r="E4" s="161"/>
      <c r="F4" s="161"/>
      <c r="G4" s="94"/>
      <c r="H4" s="166" t="str">
        <f t="shared" si="1"/>
        <v/>
      </c>
      <c r="I4" s="166" t="str">
        <f>IF(F4="","",(SUM(G3*F4)))</f>
        <v/>
      </c>
      <c r="J4" s="164" t="str">
        <f t="shared" ref="J4:J10" si="2">IF(OR(F4="",E4=""),"",IF(F4&lt;=0,"Closed","Open"))</f>
        <v/>
      </c>
      <c r="K4" s="178"/>
      <c r="L4" s="178"/>
      <c r="M4" s="178"/>
      <c r="N4" s="178"/>
      <c r="O4" s="178"/>
      <c r="P4" s="178"/>
      <c r="Q4" s="178"/>
      <c r="R4" s="178"/>
      <c r="S4" s="178"/>
      <c r="T4" s="178"/>
      <c r="U4" s="178"/>
      <c r="V4" s="178"/>
      <c r="W4" s="178"/>
      <c r="X4" s="178"/>
      <c r="Y4" s="178"/>
      <c r="Z4" s="178"/>
      <c r="AA4" s="188"/>
    </row>
    <row r="5">
      <c r="A5" s="61"/>
      <c r="B5" s="155"/>
      <c r="C5" s="61"/>
      <c r="D5" s="61"/>
      <c r="E5" s="150"/>
      <c r="F5" s="150"/>
      <c r="G5" s="61"/>
      <c r="H5" s="168" t="str">
        <f t="shared" si="1"/>
        <v/>
      </c>
      <c r="I5" s="168" t="str">
        <f>IF(F5="","",(SUM(G3*F5)))</f>
        <v/>
      </c>
      <c r="J5" s="159" t="str">
        <f t="shared" si="2"/>
        <v/>
      </c>
      <c r="K5" s="178"/>
      <c r="L5" s="178"/>
      <c r="M5" s="178"/>
      <c r="N5" s="178"/>
      <c r="O5" s="178"/>
      <c r="P5" s="178"/>
      <c r="Q5" s="178"/>
      <c r="R5" s="178"/>
      <c r="S5" s="178"/>
      <c r="T5" s="178"/>
      <c r="U5" s="178"/>
      <c r="V5" s="178"/>
      <c r="W5" s="178"/>
      <c r="X5" s="178"/>
      <c r="Y5" s="178"/>
      <c r="Z5" s="178"/>
      <c r="AA5" s="188"/>
    </row>
    <row r="6">
      <c r="A6" s="94"/>
      <c r="B6" s="160"/>
      <c r="C6" s="94"/>
      <c r="D6" s="94"/>
      <c r="E6" s="161"/>
      <c r="F6" s="161"/>
      <c r="G6" s="94"/>
      <c r="H6" s="166" t="str">
        <f t="shared" si="1"/>
        <v/>
      </c>
      <c r="I6" s="166" t="str">
        <f>IF(F6="","",(SUM(G3*F6)))</f>
        <v/>
      </c>
      <c r="J6" s="164" t="str">
        <f t="shared" si="2"/>
        <v/>
      </c>
      <c r="K6" s="178"/>
      <c r="L6" s="178"/>
      <c r="M6" s="178"/>
      <c r="N6" s="178"/>
      <c r="O6" s="178"/>
      <c r="P6" s="178"/>
      <c r="Q6" s="178"/>
      <c r="R6" s="178"/>
      <c r="S6" s="178"/>
      <c r="T6" s="178"/>
      <c r="U6" s="178"/>
      <c r="V6" s="178"/>
      <c r="W6" s="178"/>
      <c r="X6" s="178"/>
      <c r="Y6" s="178"/>
      <c r="Z6" s="178"/>
      <c r="AA6" s="188"/>
    </row>
    <row r="7">
      <c r="A7" s="61"/>
      <c r="B7" s="155"/>
      <c r="C7" s="61"/>
      <c r="D7" s="61"/>
      <c r="E7" s="150"/>
      <c r="F7" s="150"/>
      <c r="G7" s="61"/>
      <c r="H7" s="168" t="str">
        <f t="shared" si="1"/>
        <v/>
      </c>
      <c r="I7" s="168" t="str">
        <f>IF(F7="","",(SUM(G3*F7)))</f>
        <v/>
      </c>
      <c r="J7" s="159" t="str">
        <f t="shared" si="2"/>
        <v/>
      </c>
      <c r="K7" s="178"/>
      <c r="L7" s="178"/>
      <c r="M7" s="178"/>
      <c r="N7" s="178"/>
      <c r="O7" s="178"/>
      <c r="P7" s="178"/>
      <c r="Q7" s="178"/>
      <c r="R7" s="178"/>
      <c r="S7" s="178"/>
      <c r="T7" s="178"/>
      <c r="U7" s="178"/>
      <c r="V7" s="178"/>
      <c r="W7" s="178"/>
      <c r="X7" s="178"/>
      <c r="Y7" s="178"/>
      <c r="Z7" s="178"/>
      <c r="AA7" s="188"/>
    </row>
    <row r="8">
      <c r="A8" s="94"/>
      <c r="B8" s="160"/>
      <c r="C8" s="94"/>
      <c r="D8" s="94"/>
      <c r="E8" s="161"/>
      <c r="F8" s="161"/>
      <c r="G8" s="94"/>
      <c r="H8" s="166" t="str">
        <f t="shared" si="1"/>
        <v/>
      </c>
      <c r="I8" s="166" t="str">
        <f>IF(F8="","",(SUM(G3*F8)))</f>
        <v/>
      </c>
      <c r="J8" s="164" t="str">
        <f t="shared" si="2"/>
        <v/>
      </c>
      <c r="K8" s="178"/>
      <c r="L8" s="178"/>
      <c r="M8" s="178"/>
      <c r="N8" s="178"/>
      <c r="O8" s="178"/>
      <c r="P8" s="178"/>
      <c r="Q8" s="178"/>
      <c r="R8" s="178"/>
      <c r="S8" s="178"/>
      <c r="T8" s="178"/>
      <c r="U8" s="178"/>
      <c r="V8" s="178"/>
      <c r="W8" s="178"/>
      <c r="X8" s="178"/>
      <c r="Y8" s="178"/>
      <c r="Z8" s="178"/>
      <c r="AA8" s="188"/>
    </row>
    <row r="9">
      <c r="A9" s="61"/>
      <c r="B9" s="155"/>
      <c r="C9" s="61"/>
      <c r="D9" s="61"/>
      <c r="E9" s="150"/>
      <c r="F9" s="150"/>
      <c r="G9" s="61"/>
      <c r="H9" s="168" t="str">
        <f t="shared" si="1"/>
        <v/>
      </c>
      <c r="I9" s="168" t="str">
        <f>IF(F9="","",(SUM(G3*F9)))</f>
        <v/>
      </c>
      <c r="J9" s="159" t="str">
        <f t="shared" si="2"/>
        <v/>
      </c>
      <c r="K9" s="178"/>
      <c r="L9" s="178"/>
      <c r="M9" s="178"/>
      <c r="N9" s="178"/>
      <c r="O9" s="178"/>
      <c r="P9" s="178"/>
      <c r="Q9" s="178"/>
      <c r="R9" s="178"/>
      <c r="S9" s="178"/>
      <c r="T9" s="178"/>
      <c r="U9" s="178"/>
      <c r="V9" s="178"/>
      <c r="W9" s="178"/>
      <c r="X9" s="178"/>
      <c r="Y9" s="178"/>
      <c r="Z9" s="178"/>
      <c r="AA9" s="188"/>
    </row>
    <row r="10">
      <c r="A10" s="138"/>
      <c r="B10" s="160"/>
      <c r="C10" s="138"/>
      <c r="D10" s="138"/>
      <c r="E10" s="161"/>
      <c r="F10" s="161"/>
      <c r="G10" s="138"/>
      <c r="H10" s="166" t="str">
        <f t="shared" si="1"/>
        <v/>
      </c>
      <c r="I10" s="166" t="str">
        <f>IF(F10="","",(SUM(G3*F10)))</f>
        <v/>
      </c>
      <c r="J10" s="164" t="str">
        <f t="shared" si="2"/>
        <v/>
      </c>
      <c r="K10" s="178"/>
      <c r="L10" s="178"/>
      <c r="M10" s="178"/>
      <c r="N10" s="178"/>
      <c r="O10" s="178"/>
      <c r="P10" s="178"/>
      <c r="Q10" s="178"/>
      <c r="R10" s="178"/>
      <c r="S10" s="178"/>
      <c r="T10" s="178"/>
      <c r="U10" s="178"/>
      <c r="V10" s="178"/>
      <c r="W10" s="178"/>
      <c r="X10" s="178"/>
      <c r="Y10" s="178"/>
      <c r="Z10" s="178"/>
      <c r="AA10" s="188"/>
    </row>
    <row r="11">
      <c r="A11" s="222"/>
      <c r="B11" s="178"/>
      <c r="C11" s="178"/>
      <c r="D11" s="178"/>
      <c r="E11" s="178"/>
      <c r="F11" s="178"/>
      <c r="G11" s="178"/>
      <c r="H11" s="178"/>
      <c r="I11" s="178"/>
      <c r="J11" s="178"/>
      <c r="K11" s="178"/>
      <c r="L11" s="178"/>
      <c r="M11" s="178"/>
      <c r="N11" s="178"/>
      <c r="O11" s="178"/>
      <c r="P11" s="178"/>
      <c r="Q11" s="178"/>
      <c r="R11" s="178"/>
      <c r="S11" s="178"/>
      <c r="T11" s="178"/>
      <c r="U11" s="178"/>
      <c r="V11" s="178"/>
      <c r="W11" s="178"/>
      <c r="X11" s="178"/>
      <c r="Y11" s="178"/>
      <c r="Z11" s="178"/>
      <c r="AA11" s="188"/>
    </row>
    <row r="12">
      <c r="A12" s="222"/>
      <c r="B12" s="178"/>
      <c r="C12" s="178"/>
      <c r="D12" s="178"/>
      <c r="E12" s="178"/>
      <c r="F12" s="178"/>
      <c r="G12" s="178"/>
      <c r="H12" s="178"/>
      <c r="I12" s="178"/>
      <c r="J12" s="178"/>
      <c r="K12" s="178"/>
      <c r="L12" s="178"/>
      <c r="M12" s="178"/>
      <c r="N12" s="178"/>
      <c r="O12" s="178"/>
      <c r="P12" s="178"/>
      <c r="Q12" s="178"/>
      <c r="R12" s="178"/>
      <c r="S12" s="178"/>
      <c r="T12" s="178"/>
      <c r="U12" s="178"/>
      <c r="V12" s="178"/>
      <c r="W12" s="178"/>
      <c r="X12" s="178"/>
      <c r="Y12" s="178"/>
      <c r="Z12" s="178"/>
      <c r="AA12" s="188"/>
    </row>
    <row r="13">
      <c r="A13" s="152" t="s">
        <v>146</v>
      </c>
      <c r="B13" s="179" t="s">
        <v>147</v>
      </c>
      <c r="C13" s="152" t="s">
        <v>148</v>
      </c>
      <c r="D13" s="152" t="s">
        <v>149</v>
      </c>
      <c r="E13" s="179" t="s">
        <v>150</v>
      </c>
      <c r="F13" s="180" t="s">
        <v>112</v>
      </c>
      <c r="G13" s="179" t="s">
        <v>151</v>
      </c>
      <c r="H13" s="179" t="s">
        <v>200</v>
      </c>
      <c r="I13" s="179" t="s">
        <v>113</v>
      </c>
      <c r="J13" s="179" t="s">
        <v>154</v>
      </c>
      <c r="K13" s="178"/>
      <c r="L13" s="178"/>
      <c r="M13" s="178"/>
      <c r="N13" s="178"/>
      <c r="O13" s="178"/>
      <c r="P13" s="178"/>
      <c r="Q13" s="178"/>
      <c r="R13" s="178"/>
      <c r="S13" s="178"/>
      <c r="T13" s="178"/>
      <c r="U13" s="178"/>
      <c r="V13" s="178"/>
      <c r="W13" s="178"/>
      <c r="X13" s="178"/>
      <c r="Y13" s="178"/>
      <c r="Z13" s="178"/>
      <c r="AA13" s="188"/>
    </row>
    <row r="14">
      <c r="A14" s="51">
        <v>142091.0</v>
      </c>
      <c r="B14" s="155">
        <v>45773.0</v>
      </c>
      <c r="C14" s="51" t="s">
        <v>61</v>
      </c>
      <c r="D14" s="51">
        <v>50000.0</v>
      </c>
      <c r="E14" s="150">
        <v>0.0</v>
      </c>
      <c r="F14" s="150">
        <f>D14-E14</f>
        <v>50000</v>
      </c>
      <c r="G14" s="156">
        <v>2825.0</v>
      </c>
      <c r="H14" s="158">
        <f t="shared" ref="H14:H21" si="3">IF(E14="","",(SUM($G$3*E14)))</f>
        <v>0</v>
      </c>
      <c r="I14" s="158">
        <f>F14*G14</f>
        <v>141250000</v>
      </c>
      <c r="J14" s="159" t="str">
        <f>IF(OR(D14="",E14=""),"",IF(F14&lt;=0,"Closed","Open"))</f>
        <v>Open</v>
      </c>
      <c r="K14" s="178"/>
      <c r="L14" s="178"/>
      <c r="M14" s="178"/>
      <c r="N14" s="178"/>
      <c r="O14" s="178"/>
      <c r="P14" s="178"/>
      <c r="Q14" s="178"/>
      <c r="R14" s="178"/>
      <c r="S14" s="178"/>
      <c r="T14" s="178"/>
      <c r="U14" s="178"/>
      <c r="V14" s="178"/>
      <c r="W14" s="178"/>
      <c r="X14" s="178"/>
      <c r="Y14" s="178"/>
      <c r="Z14" s="178"/>
      <c r="AA14" s="188"/>
    </row>
    <row r="15">
      <c r="A15" s="94"/>
      <c r="B15" s="160"/>
      <c r="C15" s="94"/>
      <c r="D15" s="94"/>
      <c r="E15" s="161"/>
      <c r="F15" s="161"/>
      <c r="G15" s="94"/>
      <c r="H15" s="166" t="str">
        <f t="shared" si="3"/>
        <v/>
      </c>
      <c r="I15" s="166" t="str">
        <f>IF(F15="","",(SUM(G14*F15)))</f>
        <v/>
      </c>
      <c r="J15" s="164" t="str">
        <f t="shared" ref="J15:J21" si="4">IF(OR(F15="",E15=""),"",IF(F15&lt;=0,"Closed","Open"))</f>
        <v/>
      </c>
      <c r="K15" s="178"/>
      <c r="L15" s="178"/>
      <c r="M15" s="178"/>
      <c r="N15" s="178"/>
      <c r="O15" s="178"/>
      <c r="P15" s="178"/>
      <c r="Q15" s="178"/>
      <c r="R15" s="178"/>
      <c r="S15" s="178"/>
      <c r="T15" s="178"/>
      <c r="U15" s="178"/>
      <c r="V15" s="178"/>
      <c r="W15" s="178"/>
      <c r="X15" s="178"/>
      <c r="Y15" s="178"/>
      <c r="Z15" s="178"/>
      <c r="AA15" s="188"/>
    </row>
    <row r="16">
      <c r="A16" s="61"/>
      <c r="B16" s="155"/>
      <c r="C16" s="61"/>
      <c r="D16" s="61"/>
      <c r="E16" s="150"/>
      <c r="F16" s="150"/>
      <c r="G16" s="61"/>
      <c r="H16" s="168" t="str">
        <f t="shared" si="3"/>
        <v/>
      </c>
      <c r="I16" s="168" t="str">
        <f>IF(F16="","",(SUM(G14*F16)))</f>
        <v/>
      </c>
      <c r="J16" s="159" t="str">
        <f t="shared" si="4"/>
        <v/>
      </c>
      <c r="K16" s="178"/>
      <c r="L16" s="178"/>
      <c r="M16" s="178"/>
      <c r="N16" s="178"/>
      <c r="O16" s="178"/>
      <c r="P16" s="178"/>
      <c r="Q16" s="178"/>
      <c r="R16" s="178"/>
      <c r="S16" s="178"/>
      <c r="T16" s="178"/>
      <c r="U16" s="178"/>
      <c r="V16" s="178"/>
      <c r="W16" s="178"/>
      <c r="X16" s="178"/>
      <c r="Y16" s="178"/>
      <c r="Z16" s="178"/>
      <c r="AA16" s="188"/>
    </row>
    <row r="17">
      <c r="A17" s="94"/>
      <c r="B17" s="160"/>
      <c r="C17" s="94"/>
      <c r="D17" s="94"/>
      <c r="E17" s="161"/>
      <c r="F17" s="161"/>
      <c r="G17" s="94"/>
      <c r="H17" s="166" t="str">
        <f t="shared" si="3"/>
        <v/>
      </c>
      <c r="I17" s="166" t="str">
        <f>IF(F17="","",(SUM(G14*F17)))</f>
        <v/>
      </c>
      <c r="J17" s="164" t="str">
        <f t="shared" si="4"/>
        <v/>
      </c>
      <c r="K17" s="178"/>
      <c r="L17" s="178"/>
      <c r="M17" s="178"/>
      <c r="N17" s="178"/>
      <c r="O17" s="178"/>
      <c r="P17" s="178"/>
      <c r="Q17" s="178"/>
      <c r="R17" s="178"/>
      <c r="S17" s="178"/>
      <c r="T17" s="178"/>
      <c r="U17" s="178"/>
      <c r="V17" s="178"/>
      <c r="W17" s="178"/>
      <c r="X17" s="178"/>
      <c r="Y17" s="178"/>
      <c r="Z17" s="178"/>
      <c r="AA17" s="188"/>
    </row>
    <row r="18">
      <c r="A18" s="61"/>
      <c r="B18" s="155"/>
      <c r="C18" s="61"/>
      <c r="D18" s="61"/>
      <c r="E18" s="150"/>
      <c r="F18" s="150"/>
      <c r="G18" s="61"/>
      <c r="H18" s="168" t="str">
        <f t="shared" si="3"/>
        <v/>
      </c>
      <c r="I18" s="168" t="str">
        <f>IF(F18="","",(SUM(G14*F18)))</f>
        <v/>
      </c>
      <c r="J18" s="159" t="str">
        <f t="shared" si="4"/>
        <v/>
      </c>
      <c r="K18" s="178"/>
      <c r="L18" s="178"/>
      <c r="M18" s="178"/>
      <c r="N18" s="178"/>
      <c r="O18" s="178"/>
      <c r="P18" s="178"/>
      <c r="Q18" s="178"/>
      <c r="R18" s="178"/>
      <c r="S18" s="178"/>
      <c r="T18" s="178"/>
      <c r="U18" s="178"/>
      <c r="V18" s="178"/>
      <c r="W18" s="178"/>
      <c r="X18" s="178"/>
      <c r="Y18" s="178"/>
      <c r="Z18" s="178"/>
      <c r="AA18" s="188"/>
    </row>
    <row r="19">
      <c r="A19" s="94"/>
      <c r="B19" s="160"/>
      <c r="C19" s="94"/>
      <c r="D19" s="94"/>
      <c r="E19" s="161"/>
      <c r="F19" s="161"/>
      <c r="G19" s="94"/>
      <c r="H19" s="166" t="str">
        <f t="shared" si="3"/>
        <v/>
      </c>
      <c r="I19" s="166" t="str">
        <f>IF(F19="","",(SUM(G14*F19)))</f>
        <v/>
      </c>
      <c r="J19" s="164" t="str">
        <f t="shared" si="4"/>
        <v/>
      </c>
      <c r="K19" s="178"/>
      <c r="L19" s="178"/>
      <c r="M19" s="178"/>
      <c r="N19" s="178"/>
      <c r="O19" s="178"/>
      <c r="P19" s="178"/>
      <c r="Q19" s="178"/>
      <c r="R19" s="178"/>
      <c r="S19" s="178"/>
      <c r="T19" s="178"/>
      <c r="U19" s="178"/>
      <c r="V19" s="178"/>
      <c r="W19" s="178"/>
      <c r="X19" s="178"/>
      <c r="Y19" s="178"/>
      <c r="Z19" s="178"/>
      <c r="AA19" s="188"/>
    </row>
    <row r="20">
      <c r="A20" s="61"/>
      <c r="B20" s="155"/>
      <c r="C20" s="61"/>
      <c r="D20" s="61"/>
      <c r="E20" s="150"/>
      <c r="F20" s="150"/>
      <c r="G20" s="61"/>
      <c r="H20" s="168" t="str">
        <f t="shared" si="3"/>
        <v/>
      </c>
      <c r="I20" s="168" t="str">
        <f>IF(F20="","",(SUM(G14*F20)))</f>
        <v/>
      </c>
      <c r="J20" s="159" t="str">
        <f t="shared" si="4"/>
        <v/>
      </c>
      <c r="K20" s="178"/>
      <c r="L20" s="178"/>
      <c r="M20" s="178"/>
      <c r="N20" s="178"/>
      <c r="O20" s="178"/>
      <c r="P20" s="178"/>
      <c r="Q20" s="178"/>
      <c r="R20" s="178"/>
      <c r="S20" s="178"/>
      <c r="T20" s="178"/>
      <c r="U20" s="178"/>
      <c r="V20" s="178"/>
      <c r="W20" s="178"/>
      <c r="X20" s="178"/>
      <c r="Y20" s="178"/>
      <c r="Z20" s="178"/>
      <c r="AA20" s="188"/>
    </row>
    <row r="21">
      <c r="A21" s="138"/>
      <c r="B21" s="160"/>
      <c r="C21" s="138"/>
      <c r="D21" s="138"/>
      <c r="E21" s="161"/>
      <c r="F21" s="161"/>
      <c r="G21" s="138"/>
      <c r="H21" s="166" t="str">
        <f t="shared" si="3"/>
        <v/>
      </c>
      <c r="I21" s="166" t="str">
        <f>IF(F21="","",(SUM(G14*F21)))</f>
        <v/>
      </c>
      <c r="J21" s="164" t="str">
        <f t="shared" si="4"/>
        <v/>
      </c>
      <c r="K21" s="178"/>
      <c r="L21" s="178"/>
      <c r="M21" s="178"/>
      <c r="N21" s="178"/>
      <c r="O21" s="178"/>
      <c r="P21" s="178"/>
      <c r="Q21" s="178"/>
      <c r="R21" s="178"/>
      <c r="S21" s="178"/>
      <c r="T21" s="178"/>
      <c r="U21" s="178"/>
      <c r="V21" s="178"/>
      <c r="W21" s="178"/>
      <c r="X21" s="178"/>
      <c r="Y21" s="178"/>
      <c r="Z21" s="178"/>
      <c r="AA21" s="188"/>
    </row>
    <row r="22">
      <c r="A22" s="222"/>
      <c r="B22" s="178"/>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c r="AA22" s="188"/>
    </row>
    <row r="23">
      <c r="A23" s="222"/>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88"/>
    </row>
    <row r="24">
      <c r="A24" s="152" t="s">
        <v>146</v>
      </c>
      <c r="B24" s="179" t="s">
        <v>147</v>
      </c>
      <c r="C24" s="152" t="s">
        <v>148</v>
      </c>
      <c r="D24" s="152" t="s">
        <v>149</v>
      </c>
      <c r="E24" s="179" t="s">
        <v>150</v>
      </c>
      <c r="F24" s="180" t="s">
        <v>112</v>
      </c>
      <c r="G24" s="179" t="s">
        <v>151</v>
      </c>
      <c r="H24" s="179" t="s">
        <v>200</v>
      </c>
      <c r="I24" s="179" t="s">
        <v>113</v>
      </c>
      <c r="J24" s="179" t="s">
        <v>154</v>
      </c>
      <c r="K24" s="178"/>
      <c r="L24" s="178"/>
      <c r="M24" s="178"/>
      <c r="N24" s="178"/>
      <c r="O24" s="178"/>
      <c r="P24" s="178"/>
      <c r="Q24" s="178"/>
      <c r="R24" s="178"/>
      <c r="S24" s="178"/>
      <c r="T24" s="178"/>
      <c r="U24" s="178"/>
      <c r="V24" s="178"/>
      <c r="W24" s="178"/>
      <c r="X24" s="178"/>
      <c r="Y24" s="178"/>
      <c r="Z24" s="178"/>
      <c r="AA24" s="188"/>
    </row>
    <row r="25">
      <c r="A25" s="51">
        <v>142529.0</v>
      </c>
      <c r="B25" s="155">
        <v>45754.0</v>
      </c>
      <c r="C25" s="51" t="s">
        <v>61</v>
      </c>
      <c r="D25" s="51">
        <v>50000.0</v>
      </c>
      <c r="E25" s="150">
        <v>0.0</v>
      </c>
      <c r="F25" s="150">
        <f>D25-E25</f>
        <v>50000</v>
      </c>
      <c r="G25" s="156">
        <v>2800.0</v>
      </c>
      <c r="H25" s="158">
        <f t="shared" ref="H25:H32" si="5">IF(E25="","",(SUM($G$3*E25)))</f>
        <v>0</v>
      </c>
      <c r="I25" s="158">
        <f>F25*G25</f>
        <v>140000000</v>
      </c>
      <c r="J25" s="159" t="str">
        <f>IF(OR(D25="",E25=""),"",IF(F25&lt;=0,"Closed","Open"))</f>
        <v>Open</v>
      </c>
      <c r="K25" s="178"/>
      <c r="L25" s="178"/>
      <c r="M25" s="178"/>
      <c r="N25" s="178"/>
      <c r="O25" s="178"/>
      <c r="P25" s="178"/>
      <c r="Q25" s="178"/>
      <c r="R25" s="178"/>
      <c r="S25" s="178"/>
      <c r="T25" s="178"/>
      <c r="U25" s="178"/>
      <c r="V25" s="178"/>
      <c r="W25" s="178"/>
      <c r="X25" s="178"/>
      <c r="Y25" s="178"/>
      <c r="Z25" s="178"/>
      <c r="AA25" s="188"/>
    </row>
    <row r="26">
      <c r="A26" s="94"/>
      <c r="B26" s="160"/>
      <c r="C26" s="94"/>
      <c r="D26" s="94"/>
      <c r="E26" s="161"/>
      <c r="F26" s="161"/>
      <c r="G26" s="94"/>
      <c r="H26" s="166" t="str">
        <f t="shared" si="5"/>
        <v/>
      </c>
      <c r="I26" s="166" t="str">
        <f>IF(F26="","",(SUM(G25*F26)))</f>
        <v/>
      </c>
      <c r="J26" s="164" t="str">
        <f t="shared" ref="J26:J32" si="6">IF(OR(F26="",E26=""),"",IF(F26&lt;=0,"Closed","Open"))</f>
        <v/>
      </c>
      <c r="K26" s="178"/>
      <c r="L26" s="178"/>
      <c r="M26" s="178"/>
      <c r="N26" s="178"/>
      <c r="O26" s="178"/>
      <c r="P26" s="178"/>
      <c r="Q26" s="178"/>
      <c r="R26" s="178"/>
      <c r="S26" s="178"/>
      <c r="T26" s="178"/>
      <c r="U26" s="178"/>
      <c r="V26" s="178"/>
      <c r="W26" s="178"/>
      <c r="X26" s="178"/>
      <c r="Y26" s="178"/>
      <c r="Z26" s="178"/>
      <c r="AA26" s="188"/>
    </row>
    <row r="27">
      <c r="A27" s="61"/>
      <c r="B27" s="155"/>
      <c r="C27" s="61"/>
      <c r="D27" s="61"/>
      <c r="E27" s="150"/>
      <c r="F27" s="150"/>
      <c r="G27" s="61"/>
      <c r="H27" s="168" t="str">
        <f t="shared" si="5"/>
        <v/>
      </c>
      <c r="I27" s="168" t="str">
        <f>IF(F27="","",(SUM(G25*F27)))</f>
        <v/>
      </c>
      <c r="J27" s="159" t="str">
        <f t="shared" si="6"/>
        <v/>
      </c>
      <c r="K27" s="178"/>
      <c r="L27" s="178"/>
      <c r="M27" s="178"/>
      <c r="N27" s="178"/>
      <c r="O27" s="178"/>
      <c r="P27" s="178"/>
      <c r="Q27" s="178"/>
      <c r="R27" s="178"/>
      <c r="S27" s="178"/>
      <c r="T27" s="178"/>
      <c r="U27" s="178"/>
      <c r="V27" s="178"/>
      <c r="W27" s="178"/>
      <c r="X27" s="178"/>
      <c r="Y27" s="178"/>
      <c r="Z27" s="178"/>
      <c r="AA27" s="188"/>
    </row>
    <row r="28">
      <c r="A28" s="94"/>
      <c r="B28" s="160"/>
      <c r="C28" s="94"/>
      <c r="D28" s="94"/>
      <c r="E28" s="161"/>
      <c r="F28" s="161"/>
      <c r="G28" s="94"/>
      <c r="H28" s="166" t="str">
        <f t="shared" si="5"/>
        <v/>
      </c>
      <c r="I28" s="166" t="str">
        <f>IF(F28="","",(SUM(G25*F28)))</f>
        <v/>
      </c>
      <c r="J28" s="164" t="str">
        <f t="shared" si="6"/>
        <v/>
      </c>
      <c r="K28" s="178"/>
      <c r="L28" s="178"/>
      <c r="M28" s="178"/>
      <c r="N28" s="178"/>
      <c r="O28" s="178"/>
      <c r="P28" s="178"/>
      <c r="Q28" s="178"/>
      <c r="R28" s="178"/>
      <c r="S28" s="178"/>
      <c r="T28" s="178"/>
      <c r="U28" s="178"/>
      <c r="V28" s="178"/>
      <c r="W28" s="178"/>
      <c r="X28" s="178"/>
      <c r="Y28" s="178"/>
      <c r="Z28" s="178"/>
      <c r="AA28" s="188"/>
    </row>
    <row r="29">
      <c r="A29" s="61"/>
      <c r="B29" s="155"/>
      <c r="C29" s="61"/>
      <c r="D29" s="61"/>
      <c r="E29" s="150"/>
      <c r="F29" s="150"/>
      <c r="G29" s="61"/>
      <c r="H29" s="168" t="str">
        <f t="shared" si="5"/>
        <v/>
      </c>
      <c r="I29" s="168" t="str">
        <f>IF(F29="","",(SUM(G25*F29)))</f>
        <v/>
      </c>
      <c r="J29" s="159" t="str">
        <f t="shared" si="6"/>
        <v/>
      </c>
      <c r="K29" s="178"/>
      <c r="L29" s="178"/>
      <c r="M29" s="178"/>
      <c r="N29" s="178"/>
      <c r="O29" s="178"/>
      <c r="P29" s="178"/>
      <c r="Q29" s="178"/>
      <c r="R29" s="178"/>
      <c r="S29" s="178"/>
      <c r="T29" s="178"/>
      <c r="U29" s="178"/>
      <c r="V29" s="178"/>
      <c r="W29" s="178"/>
      <c r="X29" s="178"/>
      <c r="Y29" s="178"/>
      <c r="Z29" s="178"/>
      <c r="AA29" s="188"/>
    </row>
    <row r="30">
      <c r="A30" s="94"/>
      <c r="B30" s="160"/>
      <c r="C30" s="94"/>
      <c r="D30" s="94"/>
      <c r="E30" s="161"/>
      <c r="F30" s="161"/>
      <c r="G30" s="94"/>
      <c r="H30" s="166" t="str">
        <f t="shared" si="5"/>
        <v/>
      </c>
      <c r="I30" s="166" t="str">
        <f>IF(F30="","",(SUM(G25*F30)))</f>
        <v/>
      </c>
      <c r="J30" s="164" t="str">
        <f t="shared" si="6"/>
        <v/>
      </c>
      <c r="K30" s="178"/>
      <c r="L30" s="178"/>
      <c r="M30" s="178"/>
      <c r="N30" s="178"/>
      <c r="O30" s="178"/>
      <c r="P30" s="178"/>
      <c r="Q30" s="178"/>
      <c r="R30" s="178"/>
      <c r="S30" s="178"/>
      <c r="T30" s="178"/>
      <c r="U30" s="178"/>
      <c r="V30" s="178"/>
      <c r="W30" s="178"/>
      <c r="X30" s="178"/>
      <c r="Y30" s="178"/>
      <c r="Z30" s="178"/>
      <c r="AA30" s="188"/>
    </row>
    <row r="31">
      <c r="A31" s="61"/>
      <c r="B31" s="155"/>
      <c r="C31" s="61"/>
      <c r="D31" s="61"/>
      <c r="E31" s="150"/>
      <c r="F31" s="150"/>
      <c r="G31" s="61"/>
      <c r="H31" s="168" t="str">
        <f t="shared" si="5"/>
        <v/>
      </c>
      <c r="I31" s="168" t="str">
        <f>IF(F31="","",(SUM(G25*F31)))</f>
        <v/>
      </c>
      <c r="J31" s="159" t="str">
        <f t="shared" si="6"/>
        <v/>
      </c>
      <c r="K31" s="178"/>
      <c r="L31" s="178"/>
      <c r="M31" s="178"/>
      <c r="N31" s="178"/>
      <c r="O31" s="178"/>
      <c r="P31" s="178"/>
      <c r="Q31" s="178"/>
      <c r="R31" s="178"/>
      <c r="S31" s="178"/>
      <c r="T31" s="178"/>
      <c r="U31" s="178"/>
      <c r="V31" s="178"/>
      <c r="W31" s="178"/>
      <c r="X31" s="178"/>
      <c r="Y31" s="178"/>
      <c r="Z31" s="178"/>
      <c r="AA31" s="188"/>
    </row>
    <row r="32">
      <c r="A32" s="138"/>
      <c r="B32" s="160"/>
      <c r="C32" s="138"/>
      <c r="D32" s="138"/>
      <c r="E32" s="161"/>
      <c r="F32" s="161"/>
      <c r="G32" s="138"/>
      <c r="H32" s="166" t="str">
        <f t="shared" si="5"/>
        <v/>
      </c>
      <c r="I32" s="166" t="str">
        <f>IF(F32="","",(SUM(G25*F32)))</f>
        <v/>
      </c>
      <c r="J32" s="164" t="str">
        <f t="shared" si="6"/>
        <v/>
      </c>
      <c r="K32" s="178"/>
      <c r="L32" s="178"/>
      <c r="M32" s="178"/>
      <c r="N32" s="178"/>
      <c r="O32" s="178"/>
      <c r="P32" s="178"/>
      <c r="Q32" s="178"/>
      <c r="R32" s="178"/>
      <c r="S32" s="178"/>
      <c r="T32" s="178"/>
      <c r="U32" s="178"/>
      <c r="V32" s="178"/>
      <c r="W32" s="178"/>
      <c r="X32" s="178"/>
      <c r="Y32" s="178"/>
      <c r="Z32" s="178"/>
      <c r="AA32" s="188"/>
    </row>
    <row r="33">
      <c r="A33" s="222"/>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88"/>
    </row>
    <row r="34">
      <c r="A34" s="222"/>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88"/>
    </row>
    <row r="35">
      <c r="A35" s="152" t="s">
        <v>146</v>
      </c>
      <c r="B35" s="179" t="s">
        <v>147</v>
      </c>
      <c r="C35" s="152" t="s">
        <v>148</v>
      </c>
      <c r="D35" s="152" t="s">
        <v>149</v>
      </c>
      <c r="E35" s="179" t="s">
        <v>150</v>
      </c>
      <c r="F35" s="180" t="s">
        <v>112</v>
      </c>
      <c r="G35" s="179" t="s">
        <v>151</v>
      </c>
      <c r="H35" s="179" t="s">
        <v>200</v>
      </c>
      <c r="I35" s="179" t="s">
        <v>113</v>
      </c>
      <c r="J35" s="179" t="s">
        <v>154</v>
      </c>
      <c r="K35" s="178"/>
      <c r="L35" s="178"/>
      <c r="M35" s="178"/>
      <c r="N35" s="178"/>
      <c r="O35" s="178"/>
      <c r="P35" s="178"/>
      <c r="Q35" s="178"/>
      <c r="R35" s="178"/>
      <c r="S35" s="178"/>
      <c r="T35" s="178"/>
      <c r="U35" s="178"/>
      <c r="V35" s="178"/>
      <c r="W35" s="178"/>
      <c r="X35" s="178"/>
      <c r="Y35" s="178"/>
      <c r="Z35" s="178"/>
      <c r="AA35" s="188"/>
    </row>
    <row r="36">
      <c r="A36" s="51">
        <v>142757.0</v>
      </c>
      <c r="B36" s="155">
        <v>45792.0</v>
      </c>
      <c r="C36" s="51" t="s">
        <v>61</v>
      </c>
      <c r="D36" s="51">
        <v>50000.0</v>
      </c>
      <c r="E36" s="150">
        <v>0.0</v>
      </c>
      <c r="F36" s="150">
        <f>D36-E36</f>
        <v>50000</v>
      </c>
      <c r="G36" s="156">
        <v>2775.0</v>
      </c>
      <c r="H36" s="158">
        <f t="shared" ref="H36:H43" si="7">IF(E36="","",(SUM($G$3*E36)))</f>
        <v>0</v>
      </c>
      <c r="I36" s="158">
        <f>F36*G36</f>
        <v>138750000</v>
      </c>
      <c r="J36" s="159" t="str">
        <f>IF(OR(D36="",E36=""),"",IF(F36&lt;=0,"Closed","Open"))</f>
        <v>Open</v>
      </c>
      <c r="K36" s="178"/>
      <c r="L36" s="178"/>
      <c r="M36" s="178"/>
      <c r="N36" s="178"/>
      <c r="O36" s="178"/>
      <c r="P36" s="178"/>
      <c r="Q36" s="178"/>
      <c r="R36" s="178"/>
      <c r="S36" s="178"/>
      <c r="T36" s="178"/>
      <c r="U36" s="178"/>
      <c r="V36" s="178"/>
      <c r="W36" s="178"/>
      <c r="X36" s="178"/>
      <c r="Y36" s="178"/>
      <c r="Z36" s="178"/>
      <c r="AA36" s="188"/>
    </row>
    <row r="37">
      <c r="A37" s="94"/>
      <c r="B37" s="160"/>
      <c r="C37" s="94"/>
      <c r="D37" s="94"/>
      <c r="E37" s="161"/>
      <c r="F37" s="161"/>
      <c r="G37" s="94"/>
      <c r="H37" s="166" t="str">
        <f t="shared" si="7"/>
        <v/>
      </c>
      <c r="I37" s="166" t="str">
        <f>IF(F37="","",(SUM(G36*F37)))</f>
        <v/>
      </c>
      <c r="J37" s="164" t="str">
        <f t="shared" ref="J37:J43" si="8">IF(OR(F37="",E37=""),"",IF(F37&lt;=0,"Closed","Open"))</f>
        <v/>
      </c>
      <c r="K37" s="178"/>
      <c r="L37" s="178"/>
      <c r="M37" s="178"/>
      <c r="N37" s="178"/>
      <c r="O37" s="178"/>
      <c r="P37" s="178"/>
      <c r="Q37" s="178"/>
      <c r="R37" s="178"/>
      <c r="S37" s="178"/>
      <c r="T37" s="178"/>
      <c r="U37" s="178"/>
      <c r="V37" s="178"/>
      <c r="W37" s="178"/>
      <c r="X37" s="178"/>
      <c r="Y37" s="178"/>
      <c r="Z37" s="178"/>
      <c r="AA37" s="188"/>
    </row>
    <row r="38">
      <c r="A38" s="61"/>
      <c r="B38" s="155"/>
      <c r="C38" s="61"/>
      <c r="D38" s="61"/>
      <c r="E38" s="150"/>
      <c r="F38" s="150"/>
      <c r="G38" s="61"/>
      <c r="H38" s="168" t="str">
        <f t="shared" si="7"/>
        <v/>
      </c>
      <c r="I38" s="168" t="str">
        <f>IF(F38="","",(SUM(G36*F38)))</f>
        <v/>
      </c>
      <c r="J38" s="159" t="str">
        <f t="shared" si="8"/>
        <v/>
      </c>
      <c r="K38" s="178"/>
      <c r="L38" s="178"/>
      <c r="M38" s="178"/>
      <c r="N38" s="178"/>
      <c r="O38" s="178"/>
      <c r="P38" s="178"/>
      <c r="Q38" s="178"/>
      <c r="R38" s="178"/>
      <c r="S38" s="178"/>
      <c r="T38" s="178"/>
      <c r="U38" s="178"/>
      <c r="V38" s="178"/>
      <c r="W38" s="178"/>
      <c r="X38" s="178"/>
      <c r="Y38" s="178"/>
      <c r="Z38" s="178"/>
      <c r="AA38" s="188"/>
    </row>
    <row r="39">
      <c r="A39" s="94"/>
      <c r="B39" s="160"/>
      <c r="C39" s="94"/>
      <c r="D39" s="94"/>
      <c r="E39" s="161"/>
      <c r="F39" s="161"/>
      <c r="G39" s="94"/>
      <c r="H39" s="166" t="str">
        <f t="shared" si="7"/>
        <v/>
      </c>
      <c r="I39" s="166" t="str">
        <f>IF(F39="","",(SUM(G36*F39)))</f>
        <v/>
      </c>
      <c r="J39" s="164" t="str">
        <f t="shared" si="8"/>
        <v/>
      </c>
      <c r="K39" s="178"/>
      <c r="L39" s="178"/>
      <c r="M39" s="178"/>
      <c r="N39" s="178"/>
      <c r="O39" s="178"/>
      <c r="P39" s="178"/>
      <c r="Q39" s="178"/>
      <c r="R39" s="178"/>
      <c r="S39" s="178"/>
      <c r="T39" s="178"/>
      <c r="U39" s="178"/>
      <c r="V39" s="178"/>
      <c r="W39" s="178"/>
      <c r="X39" s="178"/>
      <c r="Y39" s="178"/>
      <c r="Z39" s="178"/>
      <c r="AA39" s="188"/>
    </row>
    <row r="40">
      <c r="A40" s="61"/>
      <c r="B40" s="155"/>
      <c r="C40" s="61"/>
      <c r="D40" s="61"/>
      <c r="E40" s="150"/>
      <c r="F40" s="150"/>
      <c r="G40" s="61"/>
      <c r="H40" s="168" t="str">
        <f t="shared" si="7"/>
        <v/>
      </c>
      <c r="I40" s="168" t="str">
        <f>IF(F40="","",(SUM(G36*F40)))</f>
        <v/>
      </c>
      <c r="J40" s="159" t="str">
        <f t="shared" si="8"/>
        <v/>
      </c>
      <c r="K40" s="178"/>
      <c r="L40" s="178"/>
      <c r="M40" s="178"/>
      <c r="N40" s="178"/>
      <c r="O40" s="178"/>
      <c r="P40" s="178"/>
      <c r="Q40" s="178"/>
      <c r="R40" s="178"/>
      <c r="S40" s="178"/>
      <c r="T40" s="178"/>
      <c r="U40" s="178"/>
      <c r="V40" s="178"/>
      <c r="W40" s="178"/>
      <c r="X40" s="178"/>
      <c r="Y40" s="178"/>
      <c r="Z40" s="178"/>
      <c r="AA40" s="188"/>
    </row>
    <row r="41">
      <c r="A41" s="94"/>
      <c r="B41" s="160"/>
      <c r="C41" s="94"/>
      <c r="D41" s="94"/>
      <c r="E41" s="161"/>
      <c r="F41" s="161"/>
      <c r="G41" s="94"/>
      <c r="H41" s="166" t="str">
        <f t="shared" si="7"/>
        <v/>
      </c>
      <c r="I41" s="166" t="str">
        <f>IF(F41="","",(SUM(G36*F41)))</f>
        <v/>
      </c>
      <c r="J41" s="164" t="str">
        <f t="shared" si="8"/>
        <v/>
      </c>
      <c r="K41" s="178"/>
      <c r="L41" s="178"/>
      <c r="M41" s="178"/>
      <c r="N41" s="178"/>
      <c r="O41" s="178"/>
      <c r="P41" s="178"/>
      <c r="Q41" s="178"/>
      <c r="R41" s="178"/>
      <c r="S41" s="178"/>
      <c r="T41" s="178"/>
      <c r="U41" s="178"/>
      <c r="V41" s="178"/>
      <c r="W41" s="178"/>
      <c r="X41" s="178"/>
      <c r="Y41" s="178"/>
      <c r="Z41" s="178"/>
      <c r="AA41" s="188"/>
    </row>
    <row r="42">
      <c r="A42" s="61"/>
      <c r="B42" s="155"/>
      <c r="C42" s="61"/>
      <c r="D42" s="61"/>
      <c r="E42" s="150"/>
      <c r="F42" s="150"/>
      <c r="G42" s="61"/>
      <c r="H42" s="168" t="str">
        <f t="shared" si="7"/>
        <v/>
      </c>
      <c r="I42" s="168" t="str">
        <f>IF(F42="","",(SUM(G36*F42)))</f>
        <v/>
      </c>
      <c r="J42" s="159" t="str">
        <f t="shared" si="8"/>
        <v/>
      </c>
      <c r="K42" s="178"/>
      <c r="L42" s="178"/>
      <c r="M42" s="178"/>
      <c r="N42" s="178"/>
      <c r="O42" s="178"/>
      <c r="P42" s="178"/>
      <c r="Q42" s="178"/>
      <c r="R42" s="178"/>
      <c r="S42" s="178"/>
      <c r="T42" s="178"/>
      <c r="U42" s="178"/>
      <c r="V42" s="178"/>
      <c r="W42" s="178"/>
      <c r="X42" s="178"/>
      <c r="Y42" s="178"/>
      <c r="Z42" s="178"/>
      <c r="AA42" s="188"/>
    </row>
    <row r="43">
      <c r="A43" s="138"/>
      <c r="B43" s="160"/>
      <c r="C43" s="138"/>
      <c r="D43" s="138"/>
      <c r="E43" s="161"/>
      <c r="F43" s="161"/>
      <c r="G43" s="138"/>
      <c r="H43" s="166" t="str">
        <f t="shared" si="7"/>
        <v/>
      </c>
      <c r="I43" s="166" t="str">
        <f>IF(F43="","",(SUM(G36*F43)))</f>
        <v/>
      </c>
      <c r="J43" s="164" t="str">
        <f t="shared" si="8"/>
        <v/>
      </c>
      <c r="K43" s="178"/>
      <c r="L43" s="178"/>
      <c r="M43" s="178"/>
      <c r="N43" s="178"/>
      <c r="O43" s="178"/>
      <c r="P43" s="178"/>
      <c r="Q43" s="178"/>
      <c r="R43" s="178"/>
      <c r="S43" s="178"/>
      <c r="T43" s="178"/>
      <c r="U43" s="178"/>
      <c r="V43" s="178"/>
      <c r="W43" s="178"/>
      <c r="X43" s="178"/>
      <c r="Y43" s="178"/>
      <c r="Z43" s="178"/>
      <c r="AA43" s="188"/>
    </row>
    <row r="44">
      <c r="A44" s="222"/>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88"/>
    </row>
    <row r="45">
      <c r="A45" s="222"/>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88"/>
    </row>
    <row r="46">
      <c r="A46" s="222"/>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88"/>
    </row>
    <row r="47">
      <c r="A47" s="222"/>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88"/>
    </row>
    <row r="48">
      <c r="A48" s="222"/>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88"/>
    </row>
    <row r="49">
      <c r="A49" s="222"/>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88"/>
    </row>
    <row r="50">
      <c r="A50" s="222"/>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88"/>
    </row>
    <row r="51">
      <c r="A51" s="222"/>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88"/>
    </row>
    <row r="52">
      <c r="A52" s="222"/>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88"/>
    </row>
    <row r="53">
      <c r="A53" s="222"/>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88"/>
    </row>
    <row r="54">
      <c r="A54" s="222"/>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88"/>
    </row>
    <row r="55">
      <c r="A55" s="222"/>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88"/>
    </row>
    <row r="56">
      <c r="A56" s="222"/>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88"/>
    </row>
    <row r="57">
      <c r="A57" s="222"/>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88"/>
    </row>
    <row r="58">
      <c r="A58" s="222"/>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88"/>
    </row>
    <row r="59">
      <c r="A59" s="222"/>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88"/>
    </row>
    <row r="60">
      <c r="A60" s="222"/>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88"/>
    </row>
    <row r="61">
      <c r="A61" s="222"/>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88"/>
    </row>
    <row r="62">
      <c r="A62" s="222"/>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88"/>
    </row>
    <row r="63">
      <c r="A63" s="222"/>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88"/>
    </row>
    <row r="64">
      <c r="A64" s="222"/>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88"/>
    </row>
    <row r="65">
      <c r="A65" s="222"/>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88"/>
    </row>
    <row r="66">
      <c r="A66" s="222"/>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88"/>
    </row>
    <row r="67">
      <c r="A67" s="222"/>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88"/>
    </row>
    <row r="68">
      <c r="A68" s="222"/>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88"/>
    </row>
    <row r="69">
      <c r="A69" s="222"/>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88"/>
    </row>
    <row r="70">
      <c r="A70" s="222"/>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88"/>
    </row>
    <row r="71">
      <c r="A71" s="222"/>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88"/>
    </row>
    <row r="72">
      <c r="A72" s="222"/>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88"/>
    </row>
    <row r="73">
      <c r="A73" s="222"/>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88"/>
    </row>
    <row r="74">
      <c r="A74" s="222"/>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88"/>
    </row>
    <row r="75">
      <c r="A75" s="222"/>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88"/>
    </row>
    <row r="76">
      <c r="A76" s="222"/>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88"/>
    </row>
    <row r="77">
      <c r="A77" s="222"/>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88"/>
    </row>
    <row r="78">
      <c r="A78" s="222"/>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88"/>
    </row>
    <row r="79">
      <c r="A79" s="222"/>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88"/>
    </row>
    <row r="80">
      <c r="A80" s="222"/>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88"/>
    </row>
    <row r="81">
      <c r="A81" s="222"/>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88"/>
    </row>
    <row r="82">
      <c r="A82" s="222"/>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88"/>
    </row>
    <row r="83">
      <c r="A83" s="222"/>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88"/>
    </row>
    <row r="84">
      <c r="A84" s="222"/>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88"/>
    </row>
    <row r="85">
      <c r="A85" s="222"/>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88"/>
    </row>
    <row r="86">
      <c r="A86" s="222"/>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88"/>
    </row>
    <row r="87">
      <c r="A87" s="222"/>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88"/>
    </row>
    <row r="88">
      <c r="A88" s="222"/>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88"/>
    </row>
    <row r="89">
      <c r="A89" s="222"/>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88"/>
    </row>
    <row r="90">
      <c r="A90" s="222"/>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88"/>
    </row>
    <row r="91">
      <c r="A91" s="222"/>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88"/>
    </row>
    <row r="92">
      <c r="A92" s="222"/>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88"/>
    </row>
    <row r="93">
      <c r="A93" s="222"/>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88"/>
    </row>
    <row r="94">
      <c r="A94" s="222"/>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88"/>
    </row>
    <row r="95">
      <c r="A95" s="222"/>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88"/>
    </row>
    <row r="96">
      <c r="A96" s="222"/>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88"/>
    </row>
    <row r="97">
      <c r="A97" s="222"/>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88"/>
    </row>
    <row r="98">
      <c r="A98" s="222"/>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88"/>
    </row>
    <row r="99">
      <c r="A99" s="222"/>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88"/>
    </row>
    <row r="100">
      <c r="A100" s="222"/>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88"/>
    </row>
    <row r="101">
      <c r="A101" s="222"/>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88"/>
    </row>
    <row r="102">
      <c r="A102" s="222"/>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88"/>
    </row>
    <row r="103">
      <c r="A103" s="222"/>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88"/>
    </row>
    <row r="104">
      <c r="A104" s="222"/>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88"/>
    </row>
    <row r="105">
      <c r="A105" s="222"/>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88"/>
    </row>
    <row r="106">
      <c r="A106" s="222"/>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88"/>
    </row>
    <row r="107">
      <c r="A107" s="222"/>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88"/>
    </row>
    <row r="108">
      <c r="A108" s="222"/>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88"/>
    </row>
    <row r="109">
      <c r="A109" s="222"/>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88"/>
    </row>
    <row r="110">
      <c r="A110" s="222"/>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88"/>
    </row>
    <row r="111">
      <c r="A111" s="222"/>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88"/>
    </row>
    <row r="112">
      <c r="A112" s="222"/>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88"/>
    </row>
    <row r="113">
      <c r="A113" s="222"/>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88"/>
    </row>
    <row r="114">
      <c r="A114" s="222"/>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88"/>
    </row>
    <row r="115">
      <c r="A115" s="222"/>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88"/>
    </row>
    <row r="116">
      <c r="A116" s="222"/>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88"/>
    </row>
    <row r="117">
      <c r="A117" s="222"/>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88"/>
    </row>
    <row r="118">
      <c r="A118" s="222"/>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88"/>
    </row>
    <row r="119">
      <c r="A119" s="222"/>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88"/>
    </row>
    <row r="120">
      <c r="A120" s="222"/>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88"/>
    </row>
    <row r="121">
      <c r="A121" s="222"/>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88"/>
    </row>
    <row r="122">
      <c r="A122" s="222"/>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88"/>
    </row>
    <row r="123">
      <c r="A123" s="222"/>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88"/>
    </row>
    <row r="124">
      <c r="A124" s="222"/>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88"/>
    </row>
    <row r="125">
      <c r="A125" s="222"/>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88"/>
    </row>
    <row r="126">
      <c r="A126" s="222"/>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88"/>
    </row>
    <row r="127">
      <c r="A127" s="222"/>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88"/>
    </row>
    <row r="128">
      <c r="A128" s="222"/>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88"/>
    </row>
    <row r="129">
      <c r="A129" s="222"/>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88"/>
    </row>
    <row r="130">
      <c r="A130" s="222"/>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88"/>
    </row>
    <row r="131">
      <c r="A131" s="222"/>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88"/>
    </row>
    <row r="132">
      <c r="A132" s="222"/>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88"/>
    </row>
    <row r="133">
      <c r="A133" s="222"/>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88"/>
    </row>
    <row r="134">
      <c r="A134" s="222"/>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88"/>
    </row>
    <row r="135">
      <c r="A135" s="222"/>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88"/>
    </row>
    <row r="136">
      <c r="A136" s="222"/>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88"/>
    </row>
    <row r="137">
      <c r="A137" s="222"/>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88"/>
    </row>
    <row r="138">
      <c r="A138" s="222"/>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88"/>
    </row>
    <row r="139">
      <c r="A139" s="222"/>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88"/>
    </row>
    <row r="140">
      <c r="A140" s="222"/>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88"/>
    </row>
    <row r="141">
      <c r="A141" s="222"/>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88"/>
    </row>
    <row r="142">
      <c r="A142" s="222"/>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88"/>
    </row>
    <row r="143">
      <c r="A143" s="222"/>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88"/>
    </row>
    <row r="144">
      <c r="A144" s="222"/>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88"/>
    </row>
    <row r="145">
      <c r="A145" s="222"/>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88"/>
    </row>
    <row r="146">
      <c r="A146" s="222"/>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88"/>
    </row>
    <row r="147">
      <c r="A147" s="222"/>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88"/>
    </row>
    <row r="148">
      <c r="A148" s="222"/>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88"/>
    </row>
    <row r="149">
      <c r="A149" s="222"/>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88"/>
    </row>
    <row r="150">
      <c r="A150" s="222"/>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88"/>
    </row>
    <row r="151">
      <c r="A151" s="222"/>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88"/>
    </row>
    <row r="152">
      <c r="A152" s="222"/>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88"/>
    </row>
    <row r="153">
      <c r="A153" s="222"/>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88"/>
    </row>
    <row r="154">
      <c r="A154" s="222"/>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88"/>
    </row>
    <row r="155">
      <c r="A155" s="222"/>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88"/>
    </row>
    <row r="156">
      <c r="A156" s="222"/>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88"/>
    </row>
    <row r="157">
      <c r="A157" s="222"/>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88"/>
    </row>
    <row r="158">
      <c r="A158" s="222"/>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88"/>
    </row>
    <row r="159">
      <c r="A159" s="222"/>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88"/>
    </row>
    <row r="160">
      <c r="A160" s="222"/>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88"/>
    </row>
    <row r="161">
      <c r="A161" s="222"/>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88"/>
    </row>
    <row r="162">
      <c r="A162" s="222"/>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88"/>
    </row>
    <row r="163">
      <c r="A163" s="222"/>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88"/>
    </row>
    <row r="164">
      <c r="A164" s="222"/>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88"/>
    </row>
    <row r="165">
      <c r="A165" s="222"/>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88"/>
    </row>
    <row r="166">
      <c r="A166" s="222"/>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88"/>
    </row>
    <row r="167">
      <c r="A167" s="222"/>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88"/>
    </row>
    <row r="168">
      <c r="A168" s="222"/>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88"/>
    </row>
    <row r="169">
      <c r="A169" s="222"/>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88"/>
    </row>
    <row r="170">
      <c r="A170" s="222"/>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88"/>
    </row>
    <row r="171">
      <c r="A171" s="222"/>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88"/>
    </row>
    <row r="172">
      <c r="A172" s="222"/>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88"/>
    </row>
    <row r="173">
      <c r="A173" s="222"/>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88"/>
    </row>
    <row r="174">
      <c r="A174" s="222"/>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88"/>
    </row>
    <row r="175">
      <c r="A175" s="222"/>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88"/>
    </row>
    <row r="176">
      <c r="A176" s="222"/>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88"/>
    </row>
    <row r="177">
      <c r="A177" s="222"/>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88"/>
    </row>
    <row r="178">
      <c r="A178" s="222"/>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88"/>
    </row>
    <row r="179">
      <c r="A179" s="222"/>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88"/>
    </row>
    <row r="180">
      <c r="A180" s="222"/>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88"/>
    </row>
    <row r="181">
      <c r="A181" s="222"/>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88"/>
    </row>
    <row r="182">
      <c r="A182" s="222"/>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88"/>
    </row>
    <row r="183">
      <c r="A183" s="222"/>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88"/>
    </row>
    <row r="184">
      <c r="A184" s="222"/>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88"/>
    </row>
    <row r="185">
      <c r="A185" s="222"/>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88"/>
    </row>
    <row r="186">
      <c r="A186" s="222"/>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88"/>
    </row>
    <row r="187">
      <c r="A187" s="222"/>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88"/>
    </row>
    <row r="188">
      <c r="A188" s="222"/>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88"/>
    </row>
    <row r="189">
      <c r="A189" s="222"/>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88"/>
    </row>
    <row r="190">
      <c r="A190" s="222"/>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88"/>
    </row>
    <row r="191">
      <c r="A191" s="222"/>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88"/>
    </row>
    <row r="192">
      <c r="A192" s="222"/>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88"/>
    </row>
    <row r="193">
      <c r="A193" s="222"/>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88"/>
    </row>
    <row r="194">
      <c r="A194" s="222"/>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88"/>
    </row>
    <row r="195">
      <c r="A195" s="222"/>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88"/>
    </row>
    <row r="196">
      <c r="A196" s="222"/>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88"/>
    </row>
    <row r="197">
      <c r="A197" s="222"/>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88"/>
    </row>
    <row r="198">
      <c r="A198" s="222"/>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88"/>
    </row>
    <row r="199">
      <c r="A199" s="222"/>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88"/>
    </row>
    <row r="200">
      <c r="A200" s="222"/>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88"/>
    </row>
    <row r="201">
      <c r="A201" s="222"/>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88"/>
    </row>
    <row r="202">
      <c r="A202" s="222"/>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88"/>
    </row>
    <row r="203">
      <c r="A203" s="222"/>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88"/>
    </row>
    <row r="204">
      <c r="A204" s="222"/>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88"/>
    </row>
    <row r="205">
      <c r="A205" s="222"/>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88"/>
    </row>
    <row r="206">
      <c r="A206" s="222"/>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88"/>
    </row>
    <row r="207">
      <c r="A207" s="222"/>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88"/>
    </row>
    <row r="208">
      <c r="A208" s="222"/>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88"/>
    </row>
    <row r="209">
      <c r="A209" s="222"/>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88"/>
    </row>
    <row r="210">
      <c r="A210" s="222"/>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88"/>
    </row>
    <row r="211">
      <c r="A211" s="222"/>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88"/>
    </row>
    <row r="212">
      <c r="A212" s="222"/>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88"/>
    </row>
    <row r="213">
      <c r="A213" s="222"/>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88"/>
    </row>
    <row r="214">
      <c r="A214" s="222"/>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88"/>
    </row>
    <row r="215">
      <c r="A215" s="222"/>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88"/>
    </row>
    <row r="216">
      <c r="A216" s="222"/>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88"/>
    </row>
    <row r="217">
      <c r="A217" s="222"/>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88"/>
    </row>
    <row r="218">
      <c r="A218" s="222"/>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88"/>
    </row>
    <row r="219">
      <c r="A219" s="222"/>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88"/>
    </row>
    <row r="220">
      <c r="A220" s="222"/>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88"/>
    </row>
    <row r="221">
      <c r="A221" s="222"/>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88"/>
    </row>
    <row r="222">
      <c r="A222" s="222"/>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88"/>
    </row>
    <row r="223">
      <c r="A223" s="222"/>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88"/>
    </row>
    <row r="224">
      <c r="A224" s="222"/>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88"/>
    </row>
    <row r="225">
      <c r="A225" s="222"/>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88"/>
    </row>
    <row r="226">
      <c r="A226" s="222"/>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88"/>
    </row>
    <row r="227">
      <c r="A227" s="222"/>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88"/>
    </row>
    <row r="228">
      <c r="A228" s="222"/>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88"/>
    </row>
    <row r="229">
      <c r="A229" s="222"/>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88"/>
    </row>
    <row r="230">
      <c r="A230" s="222"/>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88"/>
    </row>
    <row r="231">
      <c r="A231" s="222"/>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88"/>
    </row>
    <row r="232">
      <c r="A232" s="222"/>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88"/>
    </row>
    <row r="233">
      <c r="A233" s="222"/>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88"/>
    </row>
    <row r="234">
      <c r="A234" s="222"/>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88"/>
    </row>
    <row r="235">
      <c r="A235" s="222"/>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88"/>
    </row>
    <row r="236">
      <c r="A236" s="222"/>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88"/>
    </row>
    <row r="237">
      <c r="A237" s="222"/>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88"/>
    </row>
    <row r="238">
      <c r="A238" s="222"/>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88"/>
    </row>
    <row r="239">
      <c r="A239" s="222"/>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88"/>
    </row>
    <row r="240">
      <c r="A240" s="222"/>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88"/>
    </row>
    <row r="241">
      <c r="A241" s="222"/>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88"/>
    </row>
    <row r="242">
      <c r="A242" s="222"/>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88"/>
    </row>
    <row r="243">
      <c r="A243" s="222"/>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88"/>
    </row>
    <row r="244">
      <c r="A244" s="222"/>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88"/>
    </row>
    <row r="245">
      <c r="A245" s="222"/>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88"/>
    </row>
    <row r="246">
      <c r="A246" s="222"/>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88"/>
    </row>
    <row r="247">
      <c r="A247" s="222"/>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88"/>
    </row>
    <row r="248">
      <c r="A248" s="222"/>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88"/>
    </row>
    <row r="249">
      <c r="A249" s="222"/>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88"/>
    </row>
    <row r="250">
      <c r="A250" s="222"/>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88"/>
    </row>
    <row r="251">
      <c r="A251" s="222"/>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88"/>
    </row>
    <row r="252">
      <c r="A252" s="222"/>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88"/>
    </row>
    <row r="253">
      <c r="A253" s="222"/>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88"/>
    </row>
    <row r="254">
      <c r="A254" s="222"/>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88"/>
    </row>
    <row r="255">
      <c r="A255" s="222"/>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88"/>
    </row>
    <row r="256">
      <c r="A256" s="222"/>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88"/>
    </row>
    <row r="257">
      <c r="A257" s="222"/>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88"/>
    </row>
    <row r="258">
      <c r="A258" s="222"/>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88"/>
    </row>
    <row r="259">
      <c r="A259" s="222"/>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88"/>
    </row>
    <row r="260">
      <c r="A260" s="222"/>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88"/>
    </row>
    <row r="261">
      <c r="A261" s="222"/>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88"/>
    </row>
    <row r="262">
      <c r="A262" s="222"/>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88"/>
    </row>
    <row r="263">
      <c r="A263" s="222"/>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88"/>
    </row>
    <row r="264">
      <c r="A264" s="222"/>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88"/>
    </row>
    <row r="265">
      <c r="A265" s="222"/>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88"/>
    </row>
    <row r="266">
      <c r="A266" s="222"/>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88"/>
    </row>
    <row r="267">
      <c r="A267" s="222"/>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88"/>
    </row>
    <row r="268">
      <c r="A268" s="222"/>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88"/>
    </row>
    <row r="269">
      <c r="A269" s="222"/>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88"/>
    </row>
    <row r="270">
      <c r="A270" s="222"/>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88"/>
    </row>
    <row r="271">
      <c r="A271" s="222"/>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88"/>
    </row>
    <row r="272">
      <c r="A272" s="222"/>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88"/>
    </row>
    <row r="273">
      <c r="A273" s="222"/>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88"/>
    </row>
    <row r="274">
      <c r="A274" s="222"/>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88"/>
    </row>
    <row r="275">
      <c r="A275" s="222"/>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88"/>
    </row>
    <row r="276">
      <c r="A276" s="222"/>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88"/>
    </row>
    <row r="277">
      <c r="A277" s="222"/>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88"/>
    </row>
    <row r="278">
      <c r="A278" s="222"/>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88"/>
    </row>
    <row r="279">
      <c r="A279" s="222"/>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88"/>
    </row>
    <row r="280">
      <c r="A280" s="222"/>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88"/>
    </row>
    <row r="281">
      <c r="A281" s="222"/>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88"/>
    </row>
    <row r="282">
      <c r="A282" s="222"/>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88"/>
    </row>
    <row r="283">
      <c r="A283" s="222"/>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88"/>
    </row>
    <row r="284">
      <c r="A284" s="222"/>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88"/>
    </row>
    <row r="285">
      <c r="A285" s="222"/>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88"/>
    </row>
    <row r="286">
      <c r="A286" s="222"/>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88"/>
    </row>
    <row r="287">
      <c r="A287" s="222"/>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88"/>
    </row>
    <row r="288">
      <c r="A288" s="222"/>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88"/>
    </row>
    <row r="289">
      <c r="A289" s="222"/>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88"/>
    </row>
    <row r="290">
      <c r="A290" s="222"/>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88"/>
    </row>
    <row r="291">
      <c r="A291" s="222"/>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88"/>
    </row>
    <row r="292">
      <c r="A292" s="222"/>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88"/>
    </row>
    <row r="293">
      <c r="A293" s="222"/>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88"/>
    </row>
    <row r="294">
      <c r="A294" s="222"/>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88"/>
    </row>
    <row r="295">
      <c r="A295" s="222"/>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88"/>
    </row>
    <row r="296">
      <c r="A296" s="222"/>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88"/>
    </row>
    <row r="297">
      <c r="A297" s="222"/>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88"/>
    </row>
    <row r="298">
      <c r="A298" s="222"/>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88"/>
    </row>
    <row r="299">
      <c r="A299" s="222"/>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88"/>
    </row>
    <row r="300">
      <c r="A300" s="222"/>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88"/>
    </row>
    <row r="301">
      <c r="A301" s="222"/>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88"/>
    </row>
    <row r="302">
      <c r="A302" s="222"/>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88"/>
    </row>
    <row r="303">
      <c r="A303" s="222"/>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88"/>
    </row>
    <row r="304">
      <c r="A304" s="222"/>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88"/>
    </row>
    <row r="305">
      <c r="A305" s="222"/>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88"/>
    </row>
    <row r="306">
      <c r="A306" s="222"/>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88"/>
    </row>
    <row r="307">
      <c r="A307" s="222"/>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88"/>
    </row>
    <row r="308">
      <c r="A308" s="222"/>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88"/>
    </row>
    <row r="309">
      <c r="A309" s="222"/>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88"/>
    </row>
    <row r="310">
      <c r="A310" s="222"/>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88"/>
    </row>
    <row r="311">
      <c r="A311" s="222"/>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88"/>
    </row>
    <row r="312">
      <c r="A312" s="222"/>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88"/>
    </row>
    <row r="313">
      <c r="A313" s="222"/>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88"/>
    </row>
    <row r="314">
      <c r="A314" s="222"/>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88"/>
    </row>
    <row r="315">
      <c r="A315" s="222"/>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88"/>
    </row>
    <row r="316">
      <c r="A316" s="222"/>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88"/>
    </row>
    <row r="317">
      <c r="A317" s="222"/>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88"/>
    </row>
    <row r="318">
      <c r="A318" s="222"/>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88"/>
    </row>
    <row r="319">
      <c r="A319" s="222"/>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88"/>
    </row>
    <row r="320">
      <c r="A320" s="222"/>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88"/>
    </row>
    <row r="321">
      <c r="A321" s="222"/>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88"/>
    </row>
    <row r="322">
      <c r="A322" s="222"/>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88"/>
    </row>
    <row r="323">
      <c r="A323" s="222"/>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88"/>
    </row>
    <row r="324">
      <c r="A324" s="222"/>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88"/>
    </row>
    <row r="325">
      <c r="A325" s="222"/>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88"/>
    </row>
    <row r="326">
      <c r="A326" s="222"/>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88"/>
    </row>
    <row r="327">
      <c r="A327" s="222"/>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88"/>
    </row>
    <row r="328">
      <c r="A328" s="222"/>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88"/>
    </row>
    <row r="329">
      <c r="A329" s="222"/>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88"/>
    </row>
    <row r="330">
      <c r="A330" s="222"/>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88"/>
    </row>
    <row r="331">
      <c r="A331" s="222"/>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88"/>
    </row>
    <row r="332">
      <c r="A332" s="222"/>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88"/>
    </row>
    <row r="333">
      <c r="A333" s="222"/>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88"/>
    </row>
    <row r="334">
      <c r="A334" s="222"/>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88"/>
    </row>
    <row r="335">
      <c r="A335" s="222"/>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88"/>
    </row>
    <row r="336">
      <c r="A336" s="222"/>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88"/>
    </row>
    <row r="337">
      <c r="A337" s="222"/>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88"/>
    </row>
    <row r="338">
      <c r="A338" s="222"/>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88"/>
    </row>
    <row r="339">
      <c r="A339" s="222"/>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88"/>
    </row>
    <row r="340">
      <c r="A340" s="222"/>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88"/>
    </row>
    <row r="341">
      <c r="A341" s="222"/>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88"/>
    </row>
    <row r="342">
      <c r="A342" s="222"/>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88"/>
    </row>
    <row r="343">
      <c r="A343" s="222"/>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88"/>
    </row>
    <row r="344">
      <c r="A344" s="222"/>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88"/>
    </row>
    <row r="345">
      <c r="A345" s="222"/>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88"/>
    </row>
    <row r="346">
      <c r="A346" s="222"/>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88"/>
    </row>
    <row r="347">
      <c r="A347" s="222"/>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88"/>
    </row>
    <row r="348">
      <c r="A348" s="222"/>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88"/>
    </row>
    <row r="349">
      <c r="A349" s="222"/>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88"/>
    </row>
    <row r="350">
      <c r="A350" s="222"/>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88"/>
    </row>
    <row r="351">
      <c r="A351" s="222"/>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88"/>
    </row>
    <row r="352">
      <c r="A352" s="222"/>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88"/>
    </row>
    <row r="353">
      <c r="A353" s="222"/>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88"/>
    </row>
    <row r="354">
      <c r="A354" s="222"/>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88"/>
    </row>
    <row r="355">
      <c r="A355" s="222"/>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88"/>
    </row>
    <row r="356">
      <c r="A356" s="222"/>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88"/>
    </row>
    <row r="357">
      <c r="A357" s="222"/>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88"/>
    </row>
    <row r="358">
      <c r="A358" s="222"/>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88"/>
    </row>
    <row r="359">
      <c r="A359" s="222"/>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88"/>
    </row>
    <row r="360">
      <c r="A360" s="222"/>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88"/>
    </row>
    <row r="361">
      <c r="A361" s="222"/>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88"/>
    </row>
    <row r="362">
      <c r="A362" s="222"/>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88"/>
    </row>
    <row r="363">
      <c r="A363" s="222"/>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88"/>
    </row>
    <row r="364">
      <c r="A364" s="222"/>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88"/>
    </row>
    <row r="365">
      <c r="A365" s="222"/>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88"/>
    </row>
    <row r="366">
      <c r="A366" s="222"/>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88"/>
    </row>
    <row r="367">
      <c r="A367" s="222"/>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88"/>
    </row>
    <row r="368">
      <c r="A368" s="222"/>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88"/>
    </row>
    <row r="369">
      <c r="A369" s="222"/>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88"/>
    </row>
    <row r="370">
      <c r="A370" s="222"/>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88"/>
    </row>
    <row r="371">
      <c r="A371" s="222"/>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88"/>
    </row>
    <row r="372">
      <c r="A372" s="222"/>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88"/>
    </row>
    <row r="373">
      <c r="A373" s="222"/>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88"/>
    </row>
    <row r="374">
      <c r="A374" s="222"/>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88"/>
    </row>
    <row r="375">
      <c r="A375" s="222"/>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88"/>
    </row>
    <row r="376">
      <c r="A376" s="222"/>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88"/>
    </row>
    <row r="377">
      <c r="A377" s="222"/>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88"/>
    </row>
    <row r="378">
      <c r="A378" s="222"/>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88"/>
    </row>
    <row r="379">
      <c r="A379" s="222"/>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88"/>
    </row>
    <row r="380">
      <c r="A380" s="222"/>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88"/>
    </row>
    <row r="381">
      <c r="A381" s="222"/>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88"/>
    </row>
    <row r="382">
      <c r="A382" s="222"/>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88"/>
    </row>
    <row r="383">
      <c r="A383" s="222"/>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88"/>
    </row>
    <row r="384">
      <c r="A384" s="222"/>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88"/>
    </row>
    <row r="385">
      <c r="A385" s="222"/>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88"/>
    </row>
    <row r="386">
      <c r="A386" s="222"/>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88"/>
    </row>
    <row r="387">
      <c r="A387" s="222"/>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88"/>
    </row>
    <row r="388">
      <c r="A388" s="222"/>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88"/>
    </row>
    <row r="389">
      <c r="A389" s="222"/>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88"/>
    </row>
    <row r="390">
      <c r="A390" s="222"/>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88"/>
    </row>
    <row r="391">
      <c r="A391" s="222"/>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88"/>
    </row>
    <row r="392">
      <c r="A392" s="222"/>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88"/>
    </row>
    <row r="393">
      <c r="A393" s="222"/>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88"/>
    </row>
    <row r="394">
      <c r="A394" s="222"/>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88"/>
    </row>
    <row r="395">
      <c r="A395" s="222"/>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88"/>
    </row>
    <row r="396">
      <c r="A396" s="222"/>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88"/>
    </row>
    <row r="397">
      <c r="A397" s="222"/>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88"/>
    </row>
    <row r="398">
      <c r="A398" s="222"/>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88"/>
    </row>
    <row r="399">
      <c r="A399" s="222"/>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88"/>
    </row>
    <row r="400">
      <c r="A400" s="222"/>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88"/>
    </row>
    <row r="401">
      <c r="A401" s="222"/>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88"/>
    </row>
    <row r="402">
      <c r="A402" s="222"/>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88"/>
    </row>
    <row r="403">
      <c r="A403" s="222"/>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88"/>
    </row>
    <row r="404">
      <c r="A404" s="222"/>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88"/>
    </row>
    <row r="405">
      <c r="A405" s="222"/>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88"/>
    </row>
    <row r="406">
      <c r="A406" s="222"/>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88"/>
    </row>
    <row r="407">
      <c r="A407" s="222"/>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88"/>
    </row>
    <row r="408">
      <c r="A408" s="222"/>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88"/>
    </row>
    <row r="409">
      <c r="A409" s="222"/>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88"/>
    </row>
    <row r="410">
      <c r="A410" s="222"/>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88"/>
    </row>
    <row r="411">
      <c r="A411" s="222"/>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88"/>
    </row>
    <row r="412">
      <c r="A412" s="222"/>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88"/>
    </row>
    <row r="413">
      <c r="A413" s="222"/>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88"/>
    </row>
    <row r="414">
      <c r="A414" s="222"/>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88"/>
    </row>
    <row r="415">
      <c r="A415" s="222"/>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88"/>
    </row>
    <row r="416">
      <c r="A416" s="222"/>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88"/>
    </row>
    <row r="417">
      <c r="A417" s="222"/>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88"/>
    </row>
    <row r="418">
      <c r="A418" s="222"/>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88"/>
    </row>
    <row r="419">
      <c r="A419" s="222"/>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88"/>
    </row>
    <row r="420">
      <c r="A420" s="222"/>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88"/>
    </row>
    <row r="421">
      <c r="A421" s="222"/>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88"/>
    </row>
    <row r="422">
      <c r="A422" s="222"/>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88"/>
    </row>
    <row r="423">
      <c r="A423" s="222"/>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88"/>
    </row>
    <row r="424">
      <c r="A424" s="222"/>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88"/>
    </row>
    <row r="425">
      <c r="A425" s="222"/>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88"/>
    </row>
    <row r="426">
      <c r="A426" s="222"/>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88"/>
    </row>
    <row r="427">
      <c r="A427" s="222"/>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88"/>
    </row>
    <row r="428">
      <c r="A428" s="222"/>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88"/>
    </row>
    <row r="429">
      <c r="A429" s="222"/>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88"/>
    </row>
    <row r="430">
      <c r="A430" s="222"/>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88"/>
    </row>
    <row r="431">
      <c r="A431" s="222"/>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88"/>
    </row>
    <row r="432">
      <c r="A432" s="222"/>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88"/>
    </row>
    <row r="433">
      <c r="A433" s="222"/>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88"/>
    </row>
    <row r="434">
      <c r="A434" s="222"/>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88"/>
    </row>
    <row r="435">
      <c r="A435" s="222"/>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88"/>
    </row>
    <row r="436">
      <c r="A436" s="222"/>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88"/>
    </row>
    <row r="437">
      <c r="A437" s="222"/>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88"/>
    </row>
    <row r="438">
      <c r="A438" s="222"/>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88"/>
    </row>
    <row r="439">
      <c r="A439" s="222"/>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88"/>
    </row>
    <row r="440">
      <c r="A440" s="222"/>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88"/>
    </row>
    <row r="441">
      <c r="A441" s="222"/>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88"/>
    </row>
    <row r="442">
      <c r="A442" s="222"/>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88"/>
    </row>
    <row r="443">
      <c r="A443" s="222"/>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88"/>
    </row>
    <row r="444">
      <c r="A444" s="222"/>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88"/>
    </row>
    <row r="445">
      <c r="A445" s="222"/>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88"/>
    </row>
    <row r="446">
      <c r="A446" s="222"/>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88"/>
    </row>
    <row r="447">
      <c r="A447" s="222"/>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88"/>
    </row>
    <row r="448">
      <c r="A448" s="222"/>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88"/>
    </row>
    <row r="449">
      <c r="A449" s="222"/>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88"/>
    </row>
    <row r="450">
      <c r="A450" s="222"/>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88"/>
    </row>
    <row r="451">
      <c r="A451" s="222"/>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88"/>
    </row>
    <row r="452">
      <c r="A452" s="222"/>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88"/>
    </row>
    <row r="453">
      <c r="A453" s="222"/>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88"/>
    </row>
    <row r="454">
      <c r="A454" s="222"/>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88"/>
    </row>
    <row r="455">
      <c r="A455" s="222"/>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88"/>
    </row>
    <row r="456">
      <c r="A456" s="222"/>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88"/>
    </row>
    <row r="457">
      <c r="A457" s="222"/>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88"/>
    </row>
    <row r="458">
      <c r="A458" s="222"/>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88"/>
    </row>
    <row r="459">
      <c r="A459" s="222"/>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88"/>
    </row>
    <row r="460">
      <c r="A460" s="222"/>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88"/>
    </row>
    <row r="461">
      <c r="A461" s="222"/>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88"/>
    </row>
    <row r="462">
      <c r="A462" s="222"/>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88"/>
    </row>
    <row r="463">
      <c r="A463" s="222"/>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88"/>
    </row>
    <row r="464">
      <c r="A464" s="222"/>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88"/>
    </row>
    <row r="465">
      <c r="A465" s="222"/>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88"/>
    </row>
    <row r="466">
      <c r="A466" s="222"/>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88"/>
    </row>
    <row r="467">
      <c r="A467" s="222"/>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88"/>
    </row>
    <row r="468">
      <c r="A468" s="222"/>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88"/>
    </row>
    <row r="469">
      <c r="A469" s="222"/>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88"/>
    </row>
    <row r="470">
      <c r="A470" s="222"/>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88"/>
    </row>
    <row r="471">
      <c r="A471" s="222"/>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88"/>
    </row>
    <row r="472">
      <c r="A472" s="222"/>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88"/>
    </row>
    <row r="473">
      <c r="A473" s="222"/>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88"/>
    </row>
    <row r="474">
      <c r="A474" s="222"/>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88"/>
    </row>
    <row r="475">
      <c r="A475" s="222"/>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88"/>
    </row>
    <row r="476">
      <c r="A476" s="222"/>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88"/>
    </row>
    <row r="477">
      <c r="A477" s="222"/>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88"/>
    </row>
    <row r="478">
      <c r="A478" s="222"/>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88"/>
    </row>
    <row r="479">
      <c r="A479" s="222"/>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88"/>
    </row>
    <row r="480">
      <c r="A480" s="222"/>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88"/>
    </row>
    <row r="481">
      <c r="A481" s="222"/>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88"/>
    </row>
    <row r="482">
      <c r="A482" s="222"/>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88"/>
    </row>
    <row r="483">
      <c r="A483" s="222"/>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88"/>
    </row>
    <row r="484">
      <c r="A484" s="222"/>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88"/>
    </row>
    <row r="485">
      <c r="A485" s="222"/>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88"/>
    </row>
    <row r="486">
      <c r="A486" s="222"/>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88"/>
    </row>
    <row r="487">
      <c r="A487" s="222"/>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88"/>
    </row>
    <row r="488">
      <c r="A488" s="222"/>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88"/>
    </row>
    <row r="489">
      <c r="A489" s="222"/>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88"/>
    </row>
    <row r="490">
      <c r="A490" s="222"/>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88"/>
    </row>
    <row r="491">
      <c r="A491" s="222"/>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88"/>
    </row>
    <row r="492">
      <c r="A492" s="222"/>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88"/>
    </row>
    <row r="493">
      <c r="A493" s="222"/>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88"/>
    </row>
    <row r="494">
      <c r="A494" s="222"/>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88"/>
    </row>
    <row r="495">
      <c r="A495" s="222"/>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88"/>
    </row>
    <row r="496">
      <c r="A496" s="222"/>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88"/>
    </row>
    <row r="497">
      <c r="A497" s="222"/>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88"/>
    </row>
    <row r="498">
      <c r="A498" s="222"/>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88"/>
    </row>
    <row r="499">
      <c r="A499" s="222"/>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88"/>
    </row>
    <row r="500">
      <c r="A500" s="222"/>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88"/>
    </row>
    <row r="501">
      <c r="A501" s="222"/>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88"/>
    </row>
    <row r="502">
      <c r="A502" s="222"/>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88"/>
    </row>
    <row r="503">
      <c r="A503" s="222"/>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88"/>
    </row>
    <row r="504">
      <c r="A504" s="222"/>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88"/>
    </row>
    <row r="505">
      <c r="A505" s="222"/>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88"/>
    </row>
    <row r="506">
      <c r="A506" s="222"/>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88"/>
    </row>
    <row r="507">
      <c r="A507" s="222"/>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88"/>
    </row>
    <row r="508">
      <c r="A508" s="222"/>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88"/>
    </row>
    <row r="509">
      <c r="A509" s="222"/>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88"/>
    </row>
    <row r="510">
      <c r="A510" s="222"/>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88"/>
    </row>
    <row r="511">
      <c r="A511" s="222"/>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88"/>
    </row>
    <row r="512">
      <c r="A512" s="222"/>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88"/>
    </row>
    <row r="513">
      <c r="A513" s="222"/>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88"/>
    </row>
    <row r="514">
      <c r="A514" s="222"/>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88"/>
    </row>
    <row r="515">
      <c r="A515" s="222"/>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88"/>
    </row>
    <row r="516">
      <c r="A516" s="222"/>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88"/>
    </row>
    <row r="517">
      <c r="A517" s="222"/>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88"/>
    </row>
    <row r="518">
      <c r="A518" s="222"/>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88"/>
    </row>
    <row r="519">
      <c r="A519" s="222"/>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88"/>
    </row>
    <row r="520">
      <c r="A520" s="222"/>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88"/>
    </row>
    <row r="521">
      <c r="A521" s="222"/>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88"/>
    </row>
    <row r="522">
      <c r="A522" s="222"/>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88"/>
    </row>
    <row r="523">
      <c r="A523" s="222"/>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88"/>
    </row>
    <row r="524">
      <c r="A524" s="222"/>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88"/>
    </row>
    <row r="525">
      <c r="A525" s="222"/>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88"/>
    </row>
    <row r="526">
      <c r="A526" s="222"/>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88"/>
    </row>
    <row r="527">
      <c r="A527" s="222"/>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88"/>
    </row>
    <row r="528">
      <c r="A528" s="222"/>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88"/>
    </row>
    <row r="529">
      <c r="A529" s="222"/>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88"/>
    </row>
    <row r="530">
      <c r="A530" s="222"/>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88"/>
    </row>
    <row r="531">
      <c r="A531" s="222"/>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88"/>
    </row>
    <row r="532">
      <c r="A532" s="222"/>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88"/>
    </row>
    <row r="533">
      <c r="A533" s="222"/>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88"/>
    </row>
    <row r="534">
      <c r="A534" s="222"/>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88"/>
    </row>
    <row r="535">
      <c r="A535" s="222"/>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88"/>
    </row>
    <row r="536">
      <c r="A536" s="222"/>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88"/>
    </row>
    <row r="537">
      <c r="A537" s="222"/>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88"/>
    </row>
    <row r="538">
      <c r="A538" s="222"/>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88"/>
    </row>
    <row r="539">
      <c r="A539" s="222"/>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88"/>
    </row>
    <row r="540">
      <c r="A540" s="222"/>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88"/>
    </row>
    <row r="541">
      <c r="A541" s="222"/>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88"/>
    </row>
    <row r="542">
      <c r="A542" s="222"/>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88"/>
    </row>
    <row r="543">
      <c r="A543" s="222"/>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88"/>
    </row>
    <row r="544">
      <c r="A544" s="222"/>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88"/>
    </row>
    <row r="545">
      <c r="A545" s="222"/>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88"/>
    </row>
    <row r="546">
      <c r="A546" s="222"/>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88"/>
    </row>
    <row r="547">
      <c r="A547" s="222"/>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88"/>
    </row>
    <row r="548">
      <c r="A548" s="222"/>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88"/>
    </row>
    <row r="549">
      <c r="A549" s="222"/>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88"/>
    </row>
    <row r="550">
      <c r="A550" s="222"/>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88"/>
    </row>
    <row r="551">
      <c r="A551" s="222"/>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88"/>
    </row>
    <row r="552">
      <c r="A552" s="222"/>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88"/>
    </row>
    <row r="553">
      <c r="A553" s="222"/>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88"/>
    </row>
    <row r="554">
      <c r="A554" s="222"/>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88"/>
    </row>
    <row r="555">
      <c r="A555" s="222"/>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88"/>
    </row>
    <row r="556">
      <c r="A556" s="222"/>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88"/>
    </row>
    <row r="557">
      <c r="A557" s="222"/>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88"/>
    </row>
    <row r="558">
      <c r="A558" s="222"/>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88"/>
    </row>
    <row r="559">
      <c r="A559" s="222"/>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88"/>
    </row>
    <row r="560">
      <c r="A560" s="222"/>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88"/>
    </row>
    <row r="561">
      <c r="A561" s="222"/>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88"/>
    </row>
    <row r="562">
      <c r="A562" s="222"/>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88"/>
    </row>
    <row r="563">
      <c r="A563" s="222"/>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88"/>
    </row>
    <row r="564">
      <c r="A564" s="222"/>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88"/>
    </row>
    <row r="565">
      <c r="A565" s="222"/>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88"/>
    </row>
    <row r="566">
      <c r="A566" s="222"/>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88"/>
    </row>
    <row r="567">
      <c r="A567" s="222"/>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88"/>
    </row>
    <row r="568">
      <c r="A568" s="222"/>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88"/>
    </row>
    <row r="569">
      <c r="A569" s="222"/>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88"/>
    </row>
    <row r="570">
      <c r="A570" s="222"/>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88"/>
    </row>
    <row r="571">
      <c r="A571" s="222"/>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88"/>
    </row>
    <row r="572">
      <c r="A572" s="222"/>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88"/>
    </row>
    <row r="573">
      <c r="A573" s="222"/>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88"/>
    </row>
    <row r="574">
      <c r="A574" s="222"/>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88"/>
    </row>
    <row r="575">
      <c r="A575" s="222"/>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88"/>
    </row>
    <row r="576">
      <c r="A576" s="222"/>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88"/>
    </row>
    <row r="577">
      <c r="A577" s="222"/>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88"/>
    </row>
    <row r="578">
      <c r="A578" s="222"/>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88"/>
    </row>
    <row r="579">
      <c r="A579" s="222"/>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88"/>
    </row>
    <row r="580">
      <c r="A580" s="222"/>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88"/>
    </row>
    <row r="581">
      <c r="A581" s="222"/>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88"/>
    </row>
    <row r="582">
      <c r="A582" s="222"/>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88"/>
    </row>
    <row r="583">
      <c r="A583" s="222"/>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88"/>
    </row>
    <row r="584">
      <c r="A584" s="222"/>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88"/>
    </row>
    <row r="585">
      <c r="A585" s="222"/>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88"/>
    </row>
    <row r="586">
      <c r="A586" s="222"/>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88"/>
    </row>
    <row r="587">
      <c r="A587" s="222"/>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88"/>
    </row>
    <row r="588">
      <c r="A588" s="222"/>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88"/>
    </row>
    <row r="589">
      <c r="A589" s="222"/>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88"/>
    </row>
    <row r="590">
      <c r="A590" s="222"/>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88"/>
    </row>
    <row r="591">
      <c r="A591" s="222"/>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88"/>
    </row>
    <row r="592">
      <c r="A592" s="222"/>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88"/>
    </row>
    <row r="593">
      <c r="A593" s="222"/>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88"/>
    </row>
    <row r="594">
      <c r="A594" s="222"/>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88"/>
    </row>
    <row r="595">
      <c r="A595" s="222"/>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88"/>
    </row>
    <row r="596">
      <c r="A596" s="222"/>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88"/>
    </row>
    <row r="597">
      <c r="A597" s="222"/>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88"/>
    </row>
    <row r="598">
      <c r="A598" s="222"/>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88"/>
    </row>
    <row r="599">
      <c r="A599" s="222"/>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88"/>
    </row>
    <row r="600">
      <c r="A600" s="222"/>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88"/>
    </row>
    <row r="601">
      <c r="A601" s="222"/>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88"/>
    </row>
    <row r="602">
      <c r="A602" s="222"/>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88"/>
    </row>
    <row r="603">
      <c r="A603" s="222"/>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88"/>
    </row>
    <row r="604">
      <c r="A604" s="222"/>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88"/>
    </row>
    <row r="605">
      <c r="A605" s="222"/>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88"/>
    </row>
    <row r="606">
      <c r="A606" s="222"/>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88"/>
    </row>
    <row r="607">
      <c r="A607" s="222"/>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88"/>
    </row>
    <row r="608">
      <c r="A608" s="222"/>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88"/>
    </row>
    <row r="609">
      <c r="A609" s="222"/>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88"/>
    </row>
    <row r="610">
      <c r="A610" s="222"/>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88"/>
    </row>
    <row r="611">
      <c r="A611" s="222"/>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88"/>
    </row>
    <row r="612">
      <c r="A612" s="222"/>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88"/>
    </row>
    <row r="613">
      <c r="A613" s="222"/>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88"/>
    </row>
    <row r="614">
      <c r="A614" s="222"/>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88"/>
    </row>
    <row r="615">
      <c r="A615" s="222"/>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88"/>
    </row>
    <row r="616">
      <c r="A616" s="222"/>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88"/>
    </row>
    <row r="617">
      <c r="A617" s="222"/>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88"/>
    </row>
    <row r="618">
      <c r="A618" s="222"/>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88"/>
    </row>
    <row r="619">
      <c r="A619" s="222"/>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88"/>
    </row>
    <row r="620">
      <c r="A620" s="222"/>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88"/>
    </row>
    <row r="621">
      <c r="A621" s="222"/>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88"/>
    </row>
    <row r="622">
      <c r="A622" s="222"/>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88"/>
    </row>
    <row r="623">
      <c r="A623" s="222"/>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88"/>
    </row>
    <row r="624">
      <c r="A624" s="222"/>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88"/>
    </row>
    <row r="625">
      <c r="A625" s="222"/>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88"/>
    </row>
    <row r="626">
      <c r="A626" s="222"/>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88"/>
    </row>
    <row r="627">
      <c r="A627" s="222"/>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88"/>
    </row>
    <row r="628">
      <c r="A628" s="222"/>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88"/>
    </row>
    <row r="629">
      <c r="A629" s="222"/>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88"/>
    </row>
    <row r="630">
      <c r="A630" s="222"/>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88"/>
    </row>
    <row r="631">
      <c r="A631" s="222"/>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88"/>
    </row>
    <row r="632">
      <c r="A632" s="222"/>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88"/>
    </row>
    <row r="633">
      <c r="A633" s="222"/>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88"/>
    </row>
    <row r="634">
      <c r="A634" s="222"/>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88"/>
    </row>
    <row r="635">
      <c r="A635" s="222"/>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88"/>
    </row>
    <row r="636">
      <c r="A636" s="222"/>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88"/>
    </row>
    <row r="637">
      <c r="A637" s="222"/>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88"/>
    </row>
    <row r="638">
      <c r="A638" s="222"/>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88"/>
    </row>
    <row r="639">
      <c r="A639" s="222"/>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88"/>
    </row>
    <row r="640">
      <c r="A640" s="222"/>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88"/>
    </row>
    <row r="641">
      <c r="A641" s="222"/>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88"/>
    </row>
    <row r="642">
      <c r="A642" s="222"/>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88"/>
    </row>
    <row r="643">
      <c r="A643" s="222"/>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88"/>
    </row>
    <row r="644">
      <c r="A644" s="222"/>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88"/>
    </row>
    <row r="645">
      <c r="A645" s="222"/>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88"/>
    </row>
    <row r="646">
      <c r="A646" s="222"/>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88"/>
    </row>
    <row r="647">
      <c r="A647" s="222"/>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88"/>
    </row>
    <row r="648">
      <c r="A648" s="222"/>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88"/>
    </row>
    <row r="649">
      <c r="A649" s="222"/>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88"/>
    </row>
    <row r="650">
      <c r="A650" s="222"/>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88"/>
    </row>
    <row r="651">
      <c r="A651" s="222"/>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88"/>
    </row>
    <row r="652">
      <c r="A652" s="222"/>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88"/>
    </row>
    <row r="653">
      <c r="A653" s="222"/>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88"/>
    </row>
    <row r="654">
      <c r="A654" s="222"/>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88"/>
    </row>
    <row r="655">
      <c r="A655" s="222"/>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88"/>
    </row>
    <row r="656">
      <c r="A656" s="222"/>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88"/>
    </row>
    <row r="657">
      <c r="A657" s="222"/>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88"/>
    </row>
    <row r="658">
      <c r="A658" s="222"/>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88"/>
    </row>
    <row r="659">
      <c r="A659" s="222"/>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88"/>
    </row>
    <row r="660">
      <c r="A660" s="222"/>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88"/>
    </row>
    <row r="661">
      <c r="A661" s="222"/>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88"/>
    </row>
    <row r="662">
      <c r="A662" s="222"/>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88"/>
    </row>
    <row r="663">
      <c r="A663" s="222"/>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88"/>
    </row>
    <row r="664">
      <c r="A664" s="222"/>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88"/>
    </row>
    <row r="665">
      <c r="A665" s="222"/>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88"/>
    </row>
    <row r="666">
      <c r="A666" s="222"/>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88"/>
    </row>
    <row r="667">
      <c r="A667" s="222"/>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88"/>
    </row>
    <row r="668">
      <c r="A668" s="222"/>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88"/>
    </row>
    <row r="669">
      <c r="A669" s="222"/>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88"/>
    </row>
    <row r="670">
      <c r="A670" s="222"/>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88"/>
    </row>
    <row r="671">
      <c r="A671" s="222"/>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88"/>
    </row>
    <row r="672">
      <c r="A672" s="222"/>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88"/>
    </row>
    <row r="673">
      <c r="A673" s="222"/>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88"/>
    </row>
    <row r="674">
      <c r="A674" s="222"/>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88"/>
    </row>
    <row r="675">
      <c r="A675" s="222"/>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88"/>
    </row>
    <row r="676">
      <c r="A676" s="222"/>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88"/>
    </row>
    <row r="677">
      <c r="A677" s="222"/>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88"/>
    </row>
    <row r="678">
      <c r="A678" s="222"/>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88"/>
    </row>
    <row r="679">
      <c r="A679" s="222"/>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88"/>
    </row>
    <row r="680">
      <c r="A680" s="222"/>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88"/>
    </row>
    <row r="681">
      <c r="A681" s="222"/>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88"/>
    </row>
    <row r="682">
      <c r="A682" s="222"/>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88"/>
    </row>
    <row r="683">
      <c r="A683" s="222"/>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88"/>
    </row>
    <row r="684">
      <c r="A684" s="222"/>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88"/>
    </row>
    <row r="685">
      <c r="A685" s="222"/>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88"/>
    </row>
    <row r="686">
      <c r="A686" s="222"/>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88"/>
    </row>
    <row r="687">
      <c r="A687" s="222"/>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88"/>
    </row>
    <row r="688">
      <c r="A688" s="222"/>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88"/>
    </row>
    <row r="689">
      <c r="A689" s="222"/>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88"/>
    </row>
    <row r="690">
      <c r="A690" s="222"/>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88"/>
    </row>
    <row r="691">
      <c r="A691" s="222"/>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88"/>
    </row>
    <row r="692">
      <c r="A692" s="222"/>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88"/>
    </row>
    <row r="693">
      <c r="A693" s="222"/>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88"/>
    </row>
    <row r="694">
      <c r="A694" s="222"/>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88"/>
    </row>
    <row r="695">
      <c r="A695" s="222"/>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88"/>
    </row>
    <row r="696">
      <c r="A696" s="222"/>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88"/>
    </row>
    <row r="697">
      <c r="A697" s="222"/>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88"/>
    </row>
    <row r="698">
      <c r="A698" s="222"/>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88"/>
    </row>
    <row r="699">
      <c r="A699" s="222"/>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88"/>
    </row>
    <row r="700">
      <c r="A700" s="222"/>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88"/>
    </row>
    <row r="701">
      <c r="A701" s="222"/>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88"/>
    </row>
    <row r="702">
      <c r="A702" s="222"/>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88"/>
    </row>
    <row r="703">
      <c r="A703" s="222"/>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88"/>
    </row>
    <row r="704">
      <c r="A704" s="222"/>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88"/>
    </row>
    <row r="705">
      <c r="A705" s="222"/>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88"/>
    </row>
    <row r="706">
      <c r="A706" s="222"/>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88"/>
    </row>
    <row r="707">
      <c r="A707" s="222"/>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88"/>
    </row>
    <row r="708">
      <c r="A708" s="222"/>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88"/>
    </row>
    <row r="709">
      <c r="A709" s="222"/>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88"/>
    </row>
    <row r="710">
      <c r="A710" s="222"/>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88"/>
    </row>
    <row r="711">
      <c r="A711" s="222"/>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88"/>
    </row>
    <row r="712">
      <c r="A712" s="222"/>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88"/>
    </row>
    <row r="713">
      <c r="A713" s="222"/>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88"/>
    </row>
    <row r="714">
      <c r="A714" s="222"/>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88"/>
    </row>
    <row r="715">
      <c r="A715" s="222"/>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88"/>
    </row>
    <row r="716">
      <c r="A716" s="222"/>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88"/>
    </row>
    <row r="717">
      <c r="A717" s="222"/>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88"/>
    </row>
    <row r="718">
      <c r="A718" s="222"/>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88"/>
    </row>
    <row r="719">
      <c r="A719" s="222"/>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88"/>
    </row>
    <row r="720">
      <c r="A720" s="222"/>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88"/>
    </row>
    <row r="721">
      <c r="A721" s="222"/>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88"/>
    </row>
    <row r="722">
      <c r="A722" s="222"/>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88"/>
    </row>
    <row r="723">
      <c r="A723" s="222"/>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88"/>
    </row>
    <row r="724">
      <c r="A724" s="222"/>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88"/>
    </row>
    <row r="725">
      <c r="A725" s="222"/>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88"/>
    </row>
    <row r="726">
      <c r="A726" s="222"/>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88"/>
    </row>
    <row r="727">
      <c r="A727" s="222"/>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88"/>
    </row>
    <row r="728">
      <c r="A728" s="222"/>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88"/>
    </row>
    <row r="729">
      <c r="A729" s="222"/>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88"/>
    </row>
    <row r="730">
      <c r="A730" s="222"/>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88"/>
    </row>
    <row r="731">
      <c r="A731" s="222"/>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88"/>
    </row>
    <row r="732">
      <c r="A732" s="222"/>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88"/>
    </row>
    <row r="733">
      <c r="A733" s="222"/>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88"/>
    </row>
    <row r="734">
      <c r="A734" s="222"/>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88"/>
    </row>
    <row r="735">
      <c r="A735" s="222"/>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88"/>
    </row>
    <row r="736">
      <c r="A736" s="222"/>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88"/>
    </row>
    <row r="737">
      <c r="A737" s="222"/>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88"/>
    </row>
    <row r="738">
      <c r="A738" s="222"/>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88"/>
    </row>
    <row r="739">
      <c r="A739" s="222"/>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88"/>
    </row>
    <row r="740">
      <c r="A740" s="222"/>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88"/>
    </row>
    <row r="741">
      <c r="A741" s="222"/>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88"/>
    </row>
    <row r="742">
      <c r="A742" s="222"/>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88"/>
    </row>
    <row r="743">
      <c r="A743" s="222"/>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88"/>
    </row>
    <row r="744">
      <c r="A744" s="222"/>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88"/>
    </row>
    <row r="745">
      <c r="A745" s="222"/>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88"/>
    </row>
    <row r="746">
      <c r="A746" s="222"/>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88"/>
    </row>
    <row r="747">
      <c r="A747" s="222"/>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88"/>
    </row>
    <row r="748">
      <c r="A748" s="222"/>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88"/>
    </row>
    <row r="749">
      <c r="A749" s="222"/>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88"/>
    </row>
    <row r="750">
      <c r="A750" s="222"/>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88"/>
    </row>
    <row r="751">
      <c r="A751" s="222"/>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88"/>
    </row>
    <row r="752">
      <c r="A752" s="222"/>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88"/>
    </row>
    <row r="753">
      <c r="A753" s="222"/>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88"/>
    </row>
    <row r="754">
      <c r="A754" s="222"/>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88"/>
    </row>
    <row r="755">
      <c r="A755" s="222"/>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88"/>
    </row>
    <row r="756">
      <c r="A756" s="222"/>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88"/>
    </row>
    <row r="757">
      <c r="A757" s="222"/>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88"/>
    </row>
    <row r="758">
      <c r="A758" s="222"/>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88"/>
    </row>
    <row r="759">
      <c r="A759" s="222"/>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88"/>
    </row>
    <row r="760">
      <c r="A760" s="222"/>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88"/>
    </row>
    <row r="761">
      <c r="A761" s="222"/>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88"/>
    </row>
    <row r="762">
      <c r="A762" s="222"/>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88"/>
    </row>
    <row r="763">
      <c r="A763" s="222"/>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88"/>
    </row>
    <row r="764">
      <c r="A764" s="222"/>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88"/>
    </row>
    <row r="765">
      <c r="A765" s="222"/>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88"/>
    </row>
    <row r="766">
      <c r="A766" s="222"/>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88"/>
    </row>
    <row r="767">
      <c r="A767" s="222"/>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88"/>
    </row>
    <row r="768">
      <c r="A768" s="222"/>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88"/>
    </row>
    <row r="769">
      <c r="A769" s="222"/>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88"/>
    </row>
    <row r="770">
      <c r="A770" s="222"/>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88"/>
    </row>
    <row r="771">
      <c r="A771" s="222"/>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88"/>
    </row>
    <row r="772">
      <c r="A772" s="222"/>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88"/>
    </row>
    <row r="773">
      <c r="A773" s="222"/>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88"/>
    </row>
    <row r="774">
      <c r="A774" s="222"/>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88"/>
    </row>
    <row r="775">
      <c r="A775" s="222"/>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88"/>
    </row>
    <row r="776">
      <c r="A776" s="222"/>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88"/>
    </row>
    <row r="777">
      <c r="A777" s="222"/>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88"/>
    </row>
    <row r="778">
      <c r="A778" s="222"/>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88"/>
    </row>
    <row r="779">
      <c r="A779" s="222"/>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88"/>
    </row>
    <row r="780">
      <c r="A780" s="222"/>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88"/>
    </row>
    <row r="781">
      <c r="A781" s="222"/>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88"/>
    </row>
    <row r="782">
      <c r="A782" s="222"/>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88"/>
    </row>
    <row r="783">
      <c r="A783" s="222"/>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88"/>
    </row>
    <row r="784">
      <c r="A784" s="222"/>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88"/>
    </row>
    <row r="785">
      <c r="A785" s="222"/>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88"/>
    </row>
    <row r="786">
      <c r="A786" s="222"/>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88"/>
    </row>
    <row r="787">
      <c r="A787" s="222"/>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88"/>
    </row>
    <row r="788">
      <c r="A788" s="222"/>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88"/>
    </row>
    <row r="789">
      <c r="A789" s="222"/>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88"/>
    </row>
    <row r="790">
      <c r="A790" s="222"/>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88"/>
    </row>
    <row r="791">
      <c r="A791" s="222"/>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88"/>
    </row>
    <row r="792">
      <c r="A792" s="222"/>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88"/>
    </row>
    <row r="793">
      <c r="A793" s="222"/>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88"/>
    </row>
    <row r="794">
      <c r="A794" s="222"/>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88"/>
    </row>
    <row r="795">
      <c r="A795" s="222"/>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88"/>
    </row>
    <row r="796">
      <c r="A796" s="222"/>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88"/>
    </row>
    <row r="797">
      <c r="A797" s="222"/>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88"/>
    </row>
    <row r="798">
      <c r="A798" s="222"/>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88"/>
    </row>
    <row r="799">
      <c r="A799" s="222"/>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88"/>
    </row>
    <row r="800">
      <c r="A800" s="222"/>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88"/>
    </row>
    <row r="801">
      <c r="A801" s="222"/>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88"/>
    </row>
    <row r="802">
      <c r="A802" s="222"/>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88"/>
    </row>
    <row r="803">
      <c r="A803" s="222"/>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88"/>
    </row>
    <row r="804">
      <c r="A804" s="222"/>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88"/>
    </row>
    <row r="805">
      <c r="A805" s="222"/>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88"/>
    </row>
    <row r="806">
      <c r="A806" s="222"/>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88"/>
    </row>
    <row r="807">
      <c r="A807" s="222"/>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88"/>
    </row>
    <row r="808">
      <c r="A808" s="222"/>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88"/>
    </row>
    <row r="809">
      <c r="A809" s="222"/>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88"/>
    </row>
    <row r="810">
      <c r="A810" s="222"/>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88"/>
    </row>
    <row r="811">
      <c r="A811" s="222"/>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88"/>
    </row>
    <row r="812">
      <c r="A812" s="222"/>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88"/>
    </row>
    <row r="813">
      <c r="A813" s="222"/>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88"/>
    </row>
    <row r="814">
      <c r="A814" s="222"/>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88"/>
    </row>
    <row r="815">
      <c r="A815" s="222"/>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88"/>
    </row>
    <row r="816">
      <c r="A816" s="222"/>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88"/>
    </row>
    <row r="817">
      <c r="A817" s="222"/>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88"/>
    </row>
    <row r="818">
      <c r="A818" s="222"/>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88"/>
    </row>
    <row r="819">
      <c r="A819" s="222"/>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88"/>
    </row>
    <row r="820">
      <c r="A820" s="222"/>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88"/>
    </row>
    <row r="821">
      <c r="A821" s="222"/>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88"/>
    </row>
    <row r="822">
      <c r="A822" s="222"/>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88"/>
    </row>
    <row r="823">
      <c r="A823" s="222"/>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88"/>
    </row>
    <row r="824">
      <c r="A824" s="222"/>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88"/>
    </row>
    <row r="825">
      <c r="A825" s="222"/>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88"/>
    </row>
    <row r="826">
      <c r="A826" s="222"/>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88"/>
    </row>
    <row r="827">
      <c r="A827" s="222"/>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88"/>
    </row>
    <row r="828">
      <c r="A828" s="222"/>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88"/>
    </row>
    <row r="829">
      <c r="A829" s="222"/>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88"/>
    </row>
    <row r="830">
      <c r="A830" s="222"/>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88"/>
    </row>
    <row r="831">
      <c r="A831" s="222"/>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88"/>
    </row>
    <row r="832">
      <c r="A832" s="222"/>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88"/>
    </row>
    <row r="833">
      <c r="A833" s="222"/>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88"/>
    </row>
    <row r="834">
      <c r="A834" s="222"/>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88"/>
    </row>
    <row r="835">
      <c r="A835" s="222"/>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88"/>
    </row>
    <row r="836">
      <c r="A836" s="222"/>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88"/>
    </row>
    <row r="837">
      <c r="A837" s="222"/>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88"/>
    </row>
    <row r="838">
      <c r="A838" s="222"/>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88"/>
    </row>
    <row r="839">
      <c r="A839" s="222"/>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88"/>
    </row>
    <row r="840">
      <c r="A840" s="222"/>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88"/>
    </row>
    <row r="841">
      <c r="A841" s="222"/>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88"/>
    </row>
    <row r="842">
      <c r="A842" s="222"/>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88"/>
    </row>
    <row r="843">
      <c r="A843" s="222"/>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88"/>
    </row>
    <row r="844">
      <c r="A844" s="222"/>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88"/>
    </row>
    <row r="845">
      <c r="A845" s="222"/>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88"/>
    </row>
    <row r="846">
      <c r="A846" s="222"/>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88"/>
    </row>
    <row r="847">
      <c r="A847" s="222"/>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88"/>
    </row>
    <row r="848">
      <c r="A848" s="222"/>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88"/>
    </row>
    <row r="849">
      <c r="A849" s="222"/>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88"/>
    </row>
    <row r="850">
      <c r="A850" s="222"/>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88"/>
    </row>
    <row r="851">
      <c r="A851" s="222"/>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88"/>
    </row>
    <row r="852">
      <c r="A852" s="222"/>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88"/>
    </row>
    <row r="853">
      <c r="A853" s="222"/>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88"/>
    </row>
    <row r="854">
      <c r="A854" s="222"/>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88"/>
    </row>
    <row r="855">
      <c r="A855" s="222"/>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88"/>
    </row>
    <row r="856">
      <c r="A856" s="222"/>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88"/>
    </row>
    <row r="857">
      <c r="A857" s="222"/>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88"/>
    </row>
    <row r="858">
      <c r="A858" s="222"/>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88"/>
    </row>
    <row r="859">
      <c r="A859" s="222"/>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88"/>
    </row>
    <row r="860">
      <c r="A860" s="222"/>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88"/>
    </row>
    <row r="861">
      <c r="A861" s="222"/>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88"/>
    </row>
    <row r="862">
      <c r="A862" s="222"/>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88"/>
    </row>
    <row r="863">
      <c r="A863" s="222"/>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88"/>
    </row>
    <row r="864">
      <c r="A864" s="222"/>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88"/>
    </row>
    <row r="865">
      <c r="A865" s="222"/>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88"/>
    </row>
    <row r="866">
      <c r="A866" s="222"/>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88"/>
    </row>
    <row r="867">
      <c r="A867" s="222"/>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88"/>
    </row>
    <row r="868">
      <c r="A868" s="222"/>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88"/>
    </row>
    <row r="869">
      <c r="A869" s="222"/>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88"/>
    </row>
    <row r="870">
      <c r="A870" s="222"/>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88"/>
    </row>
    <row r="871">
      <c r="A871" s="222"/>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88"/>
    </row>
    <row r="872">
      <c r="A872" s="222"/>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88"/>
    </row>
    <row r="873">
      <c r="A873" s="222"/>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88"/>
    </row>
    <row r="874">
      <c r="A874" s="222"/>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88"/>
    </row>
    <row r="875">
      <c r="A875" s="222"/>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88"/>
    </row>
    <row r="876">
      <c r="A876" s="222"/>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88"/>
    </row>
    <row r="877">
      <c r="A877" s="222"/>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88"/>
    </row>
    <row r="878">
      <c r="A878" s="222"/>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88"/>
    </row>
    <row r="879">
      <c r="A879" s="222"/>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88"/>
    </row>
    <row r="880">
      <c r="A880" s="222"/>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88"/>
    </row>
    <row r="881">
      <c r="A881" s="222"/>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88"/>
    </row>
    <row r="882">
      <c r="A882" s="222"/>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88"/>
    </row>
    <row r="883">
      <c r="A883" s="222"/>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88"/>
    </row>
    <row r="884">
      <c r="A884" s="222"/>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88"/>
    </row>
    <row r="885">
      <c r="A885" s="222"/>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88"/>
    </row>
    <row r="886">
      <c r="A886" s="222"/>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88"/>
    </row>
    <row r="887">
      <c r="A887" s="222"/>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88"/>
    </row>
    <row r="888">
      <c r="A888" s="222"/>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88"/>
    </row>
    <row r="889">
      <c r="A889" s="222"/>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88"/>
    </row>
    <row r="890">
      <c r="A890" s="222"/>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88"/>
    </row>
    <row r="891">
      <c r="A891" s="222"/>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88"/>
    </row>
    <row r="892">
      <c r="A892" s="222"/>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88"/>
    </row>
    <row r="893">
      <c r="A893" s="222"/>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88"/>
    </row>
    <row r="894">
      <c r="A894" s="222"/>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88"/>
    </row>
    <row r="895">
      <c r="A895" s="222"/>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88"/>
    </row>
    <row r="896">
      <c r="A896" s="222"/>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88"/>
    </row>
    <row r="897">
      <c r="A897" s="222"/>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88"/>
    </row>
    <row r="898">
      <c r="A898" s="222"/>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88"/>
    </row>
    <row r="899">
      <c r="A899" s="222"/>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88"/>
    </row>
    <row r="900">
      <c r="A900" s="222"/>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88"/>
    </row>
    <row r="901">
      <c r="A901" s="222"/>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88"/>
    </row>
    <row r="902">
      <c r="A902" s="222"/>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88"/>
    </row>
    <row r="903">
      <c r="A903" s="222"/>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88"/>
    </row>
    <row r="904">
      <c r="A904" s="222"/>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88"/>
    </row>
    <row r="905">
      <c r="A905" s="222"/>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88"/>
    </row>
    <row r="906">
      <c r="A906" s="222"/>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88"/>
    </row>
    <row r="907">
      <c r="A907" s="222"/>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88"/>
    </row>
    <row r="908">
      <c r="A908" s="222"/>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88"/>
    </row>
    <row r="909">
      <c r="A909" s="222"/>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88"/>
    </row>
    <row r="910">
      <c r="A910" s="222"/>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88"/>
    </row>
    <row r="911">
      <c r="A911" s="222"/>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88"/>
    </row>
    <row r="912">
      <c r="A912" s="222"/>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88"/>
    </row>
    <row r="913">
      <c r="A913" s="222"/>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88"/>
    </row>
    <row r="914">
      <c r="A914" s="222"/>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88"/>
    </row>
    <row r="915">
      <c r="A915" s="222"/>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88"/>
    </row>
    <row r="916">
      <c r="A916" s="222"/>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88"/>
    </row>
    <row r="917">
      <c r="A917" s="222"/>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88"/>
    </row>
    <row r="918">
      <c r="A918" s="222"/>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88"/>
    </row>
    <row r="919">
      <c r="A919" s="222"/>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88"/>
    </row>
    <row r="920">
      <c r="A920" s="222"/>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88"/>
    </row>
    <row r="921">
      <c r="A921" s="222"/>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88"/>
    </row>
    <row r="922">
      <c r="A922" s="222"/>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88"/>
    </row>
    <row r="923">
      <c r="A923" s="222"/>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88"/>
    </row>
    <row r="924">
      <c r="A924" s="222"/>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88"/>
    </row>
    <row r="925">
      <c r="A925" s="222"/>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88"/>
    </row>
    <row r="926">
      <c r="A926" s="222"/>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88"/>
    </row>
    <row r="927">
      <c r="A927" s="222"/>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88"/>
    </row>
    <row r="928">
      <c r="A928" s="222"/>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88"/>
    </row>
    <row r="929">
      <c r="A929" s="222"/>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88"/>
    </row>
    <row r="930">
      <c r="A930" s="222"/>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88"/>
    </row>
    <row r="931">
      <c r="A931" s="222"/>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88"/>
    </row>
    <row r="932">
      <c r="A932" s="222"/>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88"/>
    </row>
    <row r="933">
      <c r="A933" s="222"/>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88"/>
    </row>
    <row r="934">
      <c r="A934" s="222"/>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88"/>
    </row>
    <row r="935">
      <c r="A935" s="222"/>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88"/>
    </row>
    <row r="936">
      <c r="A936" s="222"/>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88"/>
    </row>
    <row r="937">
      <c r="A937" s="222"/>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88"/>
    </row>
    <row r="938">
      <c r="A938" s="222"/>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88"/>
    </row>
    <row r="939">
      <c r="A939" s="222"/>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88"/>
    </row>
    <row r="940">
      <c r="A940" s="222"/>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88"/>
    </row>
    <row r="941">
      <c r="A941" s="222"/>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88"/>
    </row>
    <row r="942">
      <c r="A942" s="222"/>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88"/>
    </row>
    <row r="943">
      <c r="A943" s="222"/>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88"/>
    </row>
    <row r="944">
      <c r="A944" s="222"/>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88"/>
    </row>
    <row r="945">
      <c r="A945" s="222"/>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88"/>
    </row>
    <row r="946">
      <c r="A946" s="222"/>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88"/>
    </row>
    <row r="947">
      <c r="A947" s="222"/>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88"/>
    </row>
    <row r="948">
      <c r="A948" s="222"/>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88"/>
    </row>
    <row r="949">
      <c r="A949" s="222"/>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88"/>
    </row>
    <row r="950">
      <c r="A950" s="222"/>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88"/>
    </row>
    <row r="951">
      <c r="A951" s="222"/>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88"/>
    </row>
    <row r="952">
      <c r="A952" s="222"/>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88"/>
    </row>
    <row r="953">
      <c r="A953" s="222"/>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88"/>
    </row>
    <row r="954">
      <c r="A954" s="222"/>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88"/>
    </row>
    <row r="955">
      <c r="A955" s="222"/>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88"/>
    </row>
    <row r="956">
      <c r="A956" s="222"/>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88"/>
    </row>
    <row r="957">
      <c r="A957" s="222"/>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88"/>
    </row>
    <row r="958">
      <c r="A958" s="222"/>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88"/>
    </row>
    <row r="959">
      <c r="A959" s="222"/>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88"/>
    </row>
    <row r="960">
      <c r="A960" s="222"/>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88"/>
    </row>
    <row r="961">
      <c r="A961" s="222"/>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88"/>
    </row>
    <row r="962">
      <c r="A962" s="222"/>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88"/>
    </row>
    <row r="963">
      <c r="A963" s="222"/>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88"/>
    </row>
    <row r="964">
      <c r="A964" s="222"/>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88"/>
    </row>
    <row r="965">
      <c r="A965" s="222"/>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88"/>
    </row>
    <row r="966">
      <c r="A966" s="222"/>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88"/>
    </row>
    <row r="967">
      <c r="A967" s="222"/>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88"/>
    </row>
    <row r="968">
      <c r="A968" s="222"/>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88"/>
    </row>
    <row r="969">
      <c r="A969" s="222"/>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88"/>
    </row>
    <row r="970">
      <c r="A970" s="222"/>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88"/>
    </row>
    <row r="971">
      <c r="A971" s="222"/>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88"/>
    </row>
    <row r="972">
      <c r="A972" s="222"/>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88"/>
    </row>
    <row r="973">
      <c r="A973" s="222"/>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88"/>
    </row>
    <row r="974">
      <c r="A974" s="222"/>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88"/>
    </row>
    <row r="975">
      <c r="A975" s="222"/>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88"/>
    </row>
    <row r="976">
      <c r="A976" s="222"/>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88"/>
    </row>
    <row r="977">
      <c r="A977" s="222"/>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88"/>
    </row>
    <row r="978">
      <c r="A978" s="222"/>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88"/>
    </row>
    <row r="979">
      <c r="A979" s="222"/>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88"/>
    </row>
    <row r="980">
      <c r="A980" s="222"/>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88"/>
    </row>
    <row r="981">
      <c r="A981" s="222"/>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88"/>
    </row>
    <row r="982">
      <c r="A982" s="222"/>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88"/>
    </row>
    <row r="983">
      <c r="A983" s="222"/>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88"/>
    </row>
    <row r="984">
      <c r="A984" s="222"/>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88"/>
    </row>
    <row r="985">
      <c r="A985" s="222"/>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88"/>
    </row>
    <row r="986">
      <c r="A986" s="222"/>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88"/>
    </row>
    <row r="987">
      <c r="A987" s="222"/>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88"/>
    </row>
    <row r="988">
      <c r="A988" s="222"/>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88"/>
    </row>
    <row r="989">
      <c r="A989" s="222"/>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88"/>
    </row>
    <row r="990">
      <c r="A990" s="222"/>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88"/>
    </row>
    <row r="991">
      <c r="A991" s="222"/>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88"/>
    </row>
    <row r="992">
      <c r="A992" s="222"/>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88"/>
    </row>
    <row r="993">
      <c r="A993" s="222"/>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88"/>
    </row>
    <row r="994">
      <c r="A994" s="222"/>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88"/>
    </row>
    <row r="995">
      <c r="A995" s="222"/>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88"/>
    </row>
    <row r="996">
      <c r="A996" s="222"/>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88"/>
    </row>
    <row r="997">
      <c r="A997" s="222"/>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88"/>
    </row>
    <row r="998">
      <c r="A998" s="222"/>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88"/>
    </row>
    <row r="999">
      <c r="A999" s="222"/>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88"/>
    </row>
    <row r="1000">
      <c r="A1000" s="225"/>
      <c r="B1000" s="226"/>
      <c r="C1000" s="226"/>
      <c r="D1000" s="226"/>
      <c r="E1000" s="226"/>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7"/>
    </row>
  </sheetData>
  <mergeCells count="17">
    <mergeCell ref="G3:G10"/>
    <mergeCell ref="G14:G21"/>
    <mergeCell ref="G36:G43"/>
    <mergeCell ref="C14:C21"/>
    <mergeCell ref="C25:C32"/>
    <mergeCell ref="A36:A43"/>
    <mergeCell ref="C36:C43"/>
    <mergeCell ref="D36:D43"/>
    <mergeCell ref="D25:D32"/>
    <mergeCell ref="G25:G32"/>
    <mergeCell ref="A1:J1"/>
    <mergeCell ref="A3:A10"/>
    <mergeCell ref="C3:C10"/>
    <mergeCell ref="D3:D10"/>
    <mergeCell ref="A14:A21"/>
    <mergeCell ref="D14:D21"/>
    <mergeCell ref="A25:A32"/>
  </mergeCells>
  <conditionalFormatting sqref="H3:J10 H14:J21 H25:J32 H36:J43">
    <cfRule type="cellIs" dxfId="6" priority="1" operator="equal">
      <formula>"Open"</formula>
    </cfRule>
  </conditionalFormatting>
  <conditionalFormatting sqref="H3:J10 H14:J21 H25:J32 H36:J43">
    <cfRule type="cellIs" dxfId="7" priority="2" operator="equal">
      <formula>"Closed"</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8" max="9" width="15.13"/>
  </cols>
  <sheetData>
    <row r="1">
      <c r="A1" s="39" t="s">
        <v>202</v>
      </c>
      <c r="K1" s="182"/>
      <c r="L1" s="182"/>
      <c r="M1" s="182"/>
      <c r="N1" s="182"/>
      <c r="O1" s="182"/>
      <c r="P1" s="182"/>
      <c r="Q1" s="182"/>
      <c r="R1" s="182"/>
      <c r="S1" s="182"/>
      <c r="T1" s="182"/>
      <c r="U1" s="182"/>
      <c r="V1" s="182"/>
      <c r="W1" s="182"/>
      <c r="X1" s="182"/>
      <c r="Y1" s="182"/>
      <c r="Z1" s="182"/>
      <c r="AA1" s="183"/>
    </row>
    <row r="2">
      <c r="A2" s="152" t="s">
        <v>146</v>
      </c>
      <c r="B2" s="153" t="s">
        <v>147</v>
      </c>
      <c r="C2" s="152" t="s">
        <v>148</v>
      </c>
      <c r="D2" s="152" t="s">
        <v>149</v>
      </c>
      <c r="E2" s="153" t="s">
        <v>150</v>
      </c>
      <c r="F2" s="154" t="s">
        <v>112</v>
      </c>
      <c r="G2" s="153" t="s">
        <v>151</v>
      </c>
      <c r="H2" s="153" t="s">
        <v>173</v>
      </c>
      <c r="I2" s="153" t="s">
        <v>113</v>
      </c>
      <c r="J2" s="153" t="s">
        <v>154</v>
      </c>
      <c r="K2" s="178"/>
      <c r="L2" s="178"/>
      <c r="M2" s="178"/>
      <c r="N2" s="178"/>
      <c r="O2" s="178"/>
      <c r="P2" s="178"/>
      <c r="Q2" s="178"/>
      <c r="R2" s="178"/>
      <c r="S2" s="178"/>
      <c r="T2" s="178"/>
      <c r="U2" s="178"/>
      <c r="V2" s="178"/>
      <c r="W2" s="178"/>
      <c r="X2" s="178"/>
      <c r="Y2" s="178"/>
      <c r="Z2" s="178"/>
      <c r="AA2" s="188"/>
    </row>
    <row r="3">
      <c r="A3" s="51" t="s">
        <v>203</v>
      </c>
      <c r="B3" s="155">
        <v>45731.0</v>
      </c>
      <c r="C3" s="51" t="s">
        <v>50</v>
      </c>
      <c r="D3" s="51">
        <v>36311.0</v>
      </c>
      <c r="E3" s="150">
        <v>0.0</v>
      </c>
      <c r="F3" s="150">
        <f>D3-E3</f>
        <v>36311</v>
      </c>
      <c r="G3" s="156">
        <v>5700.0</v>
      </c>
      <c r="H3" s="158">
        <f t="shared" ref="H3:H18" si="1">IF(E3="","",(SUM($G$3*E3)))</f>
        <v>0</v>
      </c>
      <c r="I3" s="158">
        <f>F3*G3</f>
        <v>206972700</v>
      </c>
      <c r="J3" s="159" t="str">
        <f>IF(OR(D3="",E3=""),"",IF(F3&lt;=0,"Closed","Open"))</f>
        <v>Open</v>
      </c>
      <c r="K3" s="178"/>
      <c r="L3" s="178"/>
      <c r="M3" s="178"/>
      <c r="N3" s="178"/>
      <c r="O3" s="178"/>
      <c r="P3" s="178"/>
      <c r="Q3" s="178"/>
      <c r="R3" s="178"/>
      <c r="S3" s="178"/>
      <c r="T3" s="178"/>
      <c r="U3" s="178"/>
      <c r="V3" s="178"/>
      <c r="W3" s="178"/>
      <c r="X3" s="178"/>
      <c r="Y3" s="178"/>
      <c r="Z3" s="178"/>
      <c r="AA3" s="188"/>
    </row>
    <row r="4">
      <c r="A4" s="94"/>
      <c r="B4" s="160">
        <v>45733.0</v>
      </c>
      <c r="C4" s="94"/>
      <c r="D4" s="94"/>
      <c r="E4" s="161">
        <v>7642.0</v>
      </c>
      <c r="F4" s="161">
        <f t="shared" ref="F4:F10" si="2">IF(E4="","",(SUM(F3-E4)))</f>
        <v>28669</v>
      </c>
      <c r="G4" s="94"/>
      <c r="H4" s="163">
        <f t="shared" si="1"/>
        <v>43559400</v>
      </c>
      <c r="I4" s="163">
        <f>IF(F4="","",(SUM(G3*F4)))</f>
        <v>163413300</v>
      </c>
      <c r="J4" s="164" t="str">
        <f t="shared" ref="J4:J10" si="3">IF(OR(F4="",E4=""),"",IF(F4&lt;=0,"Closed","Open"))</f>
        <v>Open</v>
      </c>
      <c r="K4" s="178"/>
      <c r="L4" s="178"/>
      <c r="M4" s="178"/>
      <c r="N4" s="178"/>
      <c r="O4" s="178"/>
      <c r="P4" s="178"/>
      <c r="Q4" s="178"/>
      <c r="R4" s="178"/>
      <c r="S4" s="178"/>
      <c r="T4" s="178"/>
      <c r="U4" s="178"/>
      <c r="V4" s="178"/>
      <c r="W4" s="178"/>
      <c r="X4" s="178"/>
      <c r="Y4" s="178"/>
      <c r="Z4" s="178"/>
      <c r="AA4" s="188"/>
    </row>
    <row r="5">
      <c r="A5" s="61"/>
      <c r="B5" s="155">
        <v>45734.0</v>
      </c>
      <c r="C5" s="61"/>
      <c r="D5" s="61"/>
      <c r="E5" s="150">
        <v>7681.0</v>
      </c>
      <c r="F5" s="150">
        <f t="shared" si="2"/>
        <v>20988</v>
      </c>
      <c r="G5" s="61"/>
      <c r="H5" s="158">
        <f t="shared" si="1"/>
        <v>43781700</v>
      </c>
      <c r="I5" s="158">
        <f>IF(F5="","",(SUM(G3*F5)))</f>
        <v>119631600</v>
      </c>
      <c r="J5" s="159" t="str">
        <f t="shared" si="3"/>
        <v>Open</v>
      </c>
      <c r="K5" s="178"/>
      <c r="L5" s="178"/>
      <c r="M5" s="178"/>
      <c r="N5" s="178"/>
      <c r="O5" s="178"/>
      <c r="P5" s="178"/>
      <c r="Q5" s="178"/>
      <c r="R5" s="178"/>
      <c r="S5" s="178"/>
      <c r="T5" s="178"/>
      <c r="U5" s="178"/>
      <c r="V5" s="178"/>
      <c r="W5" s="178"/>
      <c r="X5" s="178"/>
      <c r="Y5" s="178"/>
      <c r="Z5" s="178"/>
      <c r="AA5" s="188"/>
    </row>
    <row r="6">
      <c r="A6" s="94"/>
      <c r="B6" s="160">
        <v>45736.0</v>
      </c>
      <c r="C6" s="94"/>
      <c r="D6" s="94"/>
      <c r="E6" s="161">
        <v>7182.0</v>
      </c>
      <c r="F6" s="161">
        <f t="shared" si="2"/>
        <v>13806</v>
      </c>
      <c r="G6" s="94"/>
      <c r="H6" s="163">
        <f t="shared" si="1"/>
        <v>40937400</v>
      </c>
      <c r="I6" s="163">
        <f>IF(F6="","",(SUM(G3*F6)))</f>
        <v>78694200</v>
      </c>
      <c r="J6" s="164" t="str">
        <f t="shared" si="3"/>
        <v>Open</v>
      </c>
      <c r="K6" s="178"/>
      <c r="L6" s="178"/>
      <c r="M6" s="178"/>
      <c r="N6" s="178"/>
      <c r="O6" s="178"/>
      <c r="P6" s="178"/>
      <c r="Q6" s="178"/>
      <c r="R6" s="178"/>
      <c r="S6" s="178"/>
      <c r="T6" s="178"/>
      <c r="U6" s="178"/>
      <c r="V6" s="178"/>
      <c r="W6" s="178"/>
      <c r="X6" s="178"/>
      <c r="Y6" s="178"/>
      <c r="Z6" s="178"/>
      <c r="AA6" s="188"/>
    </row>
    <row r="7">
      <c r="A7" s="61"/>
      <c r="B7" s="155">
        <v>45738.0</v>
      </c>
      <c r="C7" s="61"/>
      <c r="D7" s="61"/>
      <c r="E7" s="150">
        <v>6503.0</v>
      </c>
      <c r="F7" s="150">
        <f t="shared" si="2"/>
        <v>7303</v>
      </c>
      <c r="G7" s="61"/>
      <c r="H7" s="158">
        <f t="shared" si="1"/>
        <v>37067100</v>
      </c>
      <c r="I7" s="158">
        <f>IF(F7="","",(SUM(G3*F7)))</f>
        <v>41627100</v>
      </c>
      <c r="J7" s="159" t="str">
        <f t="shared" si="3"/>
        <v>Open</v>
      </c>
      <c r="K7" s="178"/>
      <c r="L7" s="178"/>
      <c r="M7" s="178"/>
      <c r="N7" s="178"/>
      <c r="O7" s="178"/>
      <c r="P7" s="178"/>
      <c r="Q7" s="178"/>
      <c r="R7" s="178"/>
      <c r="S7" s="178"/>
      <c r="T7" s="178"/>
      <c r="U7" s="178"/>
      <c r="V7" s="178"/>
      <c r="W7" s="178"/>
      <c r="X7" s="178"/>
      <c r="Y7" s="178"/>
      <c r="Z7" s="178"/>
      <c r="AA7" s="188"/>
    </row>
    <row r="8">
      <c r="A8" s="94"/>
      <c r="B8" s="160">
        <v>45742.0</v>
      </c>
      <c r="C8" s="94"/>
      <c r="D8" s="94"/>
      <c r="E8" s="161"/>
      <c r="F8" s="161" t="str">
        <f t="shared" si="2"/>
        <v/>
      </c>
      <c r="G8" s="94"/>
      <c r="H8" s="166" t="str">
        <f t="shared" si="1"/>
        <v/>
      </c>
      <c r="I8" s="166" t="str">
        <f>IF(F8="","",(SUM(G3*F8)))</f>
        <v/>
      </c>
      <c r="J8" s="164" t="str">
        <f t="shared" si="3"/>
        <v/>
      </c>
      <c r="K8" s="178"/>
      <c r="L8" s="178"/>
      <c r="M8" s="178"/>
      <c r="N8" s="178"/>
      <c r="O8" s="178"/>
      <c r="P8" s="178"/>
      <c r="Q8" s="178"/>
      <c r="R8" s="178"/>
      <c r="S8" s="178"/>
      <c r="T8" s="178"/>
      <c r="U8" s="178"/>
      <c r="V8" s="178"/>
      <c r="W8" s="178"/>
      <c r="X8" s="178"/>
      <c r="Y8" s="178"/>
      <c r="Z8" s="178"/>
      <c r="AA8" s="188"/>
    </row>
    <row r="9">
      <c r="A9" s="61"/>
      <c r="B9" s="155"/>
      <c r="C9" s="61"/>
      <c r="D9" s="61"/>
      <c r="E9" s="150"/>
      <c r="F9" s="150" t="str">
        <f t="shared" si="2"/>
        <v/>
      </c>
      <c r="G9" s="61"/>
      <c r="H9" s="168" t="str">
        <f t="shared" si="1"/>
        <v/>
      </c>
      <c r="I9" s="168" t="str">
        <f>IF(F9="","",(SUM(G3*F9)))</f>
        <v/>
      </c>
      <c r="J9" s="159" t="str">
        <f t="shared" si="3"/>
        <v/>
      </c>
      <c r="K9" s="178"/>
      <c r="L9" s="178"/>
      <c r="M9" s="178"/>
      <c r="N9" s="178"/>
      <c r="O9" s="178"/>
      <c r="P9" s="178"/>
      <c r="Q9" s="178"/>
      <c r="R9" s="178"/>
      <c r="S9" s="178"/>
      <c r="T9" s="178"/>
      <c r="U9" s="178"/>
      <c r="V9" s="178"/>
      <c r="W9" s="178"/>
      <c r="X9" s="178"/>
      <c r="Y9" s="178"/>
      <c r="Z9" s="178"/>
      <c r="AA9" s="188"/>
    </row>
    <row r="10">
      <c r="A10" s="138"/>
      <c r="B10" s="160"/>
      <c r="C10" s="138"/>
      <c r="D10" s="138"/>
      <c r="E10" s="161"/>
      <c r="F10" s="161" t="str">
        <f t="shared" si="2"/>
        <v/>
      </c>
      <c r="G10" s="138"/>
      <c r="H10" s="166" t="str">
        <f t="shared" si="1"/>
        <v/>
      </c>
      <c r="I10" s="166" t="str">
        <f>IF(F10="","",(SUM(G3*F10)))</f>
        <v/>
      </c>
      <c r="J10" s="164" t="str">
        <f t="shared" si="3"/>
        <v/>
      </c>
      <c r="K10" s="178"/>
      <c r="L10" s="178"/>
      <c r="M10" s="178"/>
      <c r="N10" s="178"/>
      <c r="O10" s="178"/>
      <c r="P10" s="178"/>
      <c r="Q10" s="178"/>
      <c r="R10" s="178"/>
      <c r="S10" s="178"/>
      <c r="T10" s="178"/>
      <c r="U10" s="178"/>
      <c r="V10" s="178"/>
      <c r="W10" s="178"/>
      <c r="X10" s="178"/>
      <c r="Y10" s="178"/>
      <c r="Z10" s="178"/>
      <c r="AA10" s="188"/>
    </row>
    <row r="11">
      <c r="A11" s="51" t="s">
        <v>204</v>
      </c>
      <c r="B11" s="155">
        <v>45731.0</v>
      </c>
      <c r="C11" s="51" t="s">
        <v>46</v>
      </c>
      <c r="D11" s="51">
        <v>51421.0</v>
      </c>
      <c r="E11" s="150">
        <v>0.0</v>
      </c>
      <c r="F11" s="150">
        <f>D11-E11</f>
        <v>51421</v>
      </c>
      <c r="G11" s="156">
        <v>5725.0</v>
      </c>
      <c r="H11" s="158">
        <f t="shared" si="1"/>
        <v>0</v>
      </c>
      <c r="I11" s="158">
        <f>F11*G11</f>
        <v>294385225</v>
      </c>
      <c r="J11" s="159" t="str">
        <f>IF(OR(D11="",E11=""),"",IF(F11&lt;=0,"Closed","Open"))</f>
        <v>Open</v>
      </c>
      <c r="K11" s="178"/>
      <c r="L11" s="178"/>
      <c r="M11" s="178"/>
      <c r="N11" s="178"/>
      <c r="O11" s="178"/>
      <c r="P11" s="178"/>
      <c r="Q11" s="178"/>
      <c r="R11" s="178"/>
      <c r="S11" s="178"/>
      <c r="T11" s="178"/>
      <c r="U11" s="178"/>
      <c r="V11" s="178"/>
      <c r="W11" s="178"/>
      <c r="X11" s="178"/>
      <c r="Y11" s="178"/>
      <c r="Z11" s="178"/>
      <c r="AA11" s="188"/>
    </row>
    <row r="12">
      <c r="A12" s="94"/>
      <c r="B12" s="160">
        <v>45734.0</v>
      </c>
      <c r="C12" s="94"/>
      <c r="D12" s="94"/>
      <c r="E12" s="161">
        <v>4908.0</v>
      </c>
      <c r="F12" s="161">
        <f t="shared" ref="F12:F18" si="4">IF(E12="","",(SUM(F11-E12)))</f>
        <v>46513</v>
      </c>
      <c r="G12" s="94"/>
      <c r="H12" s="163">
        <f t="shared" si="1"/>
        <v>27975600</v>
      </c>
      <c r="I12" s="163">
        <f>IF(F12="","",(SUM(G11*F12)))</f>
        <v>266286925</v>
      </c>
      <c r="J12" s="164" t="str">
        <f t="shared" ref="J12:J18" si="5">IF(OR(F12="",E12=""),"",IF(F12&lt;=0,"Closed","Open"))</f>
        <v>Open</v>
      </c>
      <c r="K12" s="178"/>
      <c r="L12" s="178"/>
      <c r="M12" s="178"/>
      <c r="N12" s="178"/>
      <c r="O12" s="178"/>
      <c r="P12" s="178"/>
      <c r="Q12" s="178"/>
      <c r="R12" s="178"/>
      <c r="S12" s="178"/>
      <c r="T12" s="178"/>
      <c r="U12" s="178"/>
      <c r="V12" s="178"/>
      <c r="W12" s="178"/>
      <c r="X12" s="178"/>
      <c r="Y12" s="178"/>
      <c r="Z12" s="178"/>
      <c r="AA12" s="188"/>
    </row>
    <row r="13">
      <c r="A13" s="61"/>
      <c r="B13" s="155">
        <v>45736.0</v>
      </c>
      <c r="C13" s="61"/>
      <c r="D13" s="61"/>
      <c r="E13" s="150">
        <v>4926.0</v>
      </c>
      <c r="F13" s="150">
        <f t="shared" si="4"/>
        <v>41587</v>
      </c>
      <c r="G13" s="61"/>
      <c r="H13" s="158">
        <f t="shared" si="1"/>
        <v>28078200</v>
      </c>
      <c r="I13" s="158">
        <f>IF(F13="","",(SUM(G11*F13)))</f>
        <v>238085575</v>
      </c>
      <c r="J13" s="159" t="str">
        <f t="shared" si="5"/>
        <v>Open</v>
      </c>
      <c r="K13" s="178"/>
      <c r="L13" s="178"/>
      <c r="M13" s="178"/>
      <c r="N13" s="178"/>
      <c r="O13" s="178"/>
      <c r="P13" s="178"/>
      <c r="Q13" s="178"/>
      <c r="R13" s="178"/>
      <c r="S13" s="178"/>
      <c r="T13" s="178"/>
      <c r="U13" s="178"/>
      <c r="V13" s="178"/>
      <c r="W13" s="178"/>
      <c r="X13" s="178"/>
      <c r="Y13" s="178"/>
      <c r="Z13" s="178"/>
      <c r="AA13" s="188"/>
    </row>
    <row r="14">
      <c r="A14" s="94"/>
      <c r="B14" s="160"/>
      <c r="C14" s="94"/>
      <c r="D14" s="94"/>
      <c r="E14" s="161">
        <v>6488.0</v>
      </c>
      <c r="F14" s="161">
        <f t="shared" si="4"/>
        <v>35099</v>
      </c>
      <c r="G14" s="94"/>
      <c r="H14" s="163">
        <f t="shared" si="1"/>
        <v>36981600</v>
      </c>
      <c r="I14" s="163">
        <f>IF(F14="","",(SUM(G11*F14)))</f>
        <v>200941775</v>
      </c>
      <c r="J14" s="164" t="str">
        <f t="shared" si="5"/>
        <v>Open</v>
      </c>
      <c r="K14" s="178"/>
      <c r="L14" s="178"/>
      <c r="M14" s="178"/>
      <c r="N14" s="178"/>
      <c r="O14" s="178"/>
      <c r="P14" s="178"/>
      <c r="Q14" s="178"/>
      <c r="R14" s="178"/>
      <c r="S14" s="178"/>
      <c r="T14" s="178"/>
      <c r="U14" s="178"/>
      <c r="V14" s="178"/>
      <c r="W14" s="178"/>
      <c r="X14" s="178"/>
      <c r="Y14" s="178"/>
      <c r="Z14" s="178"/>
      <c r="AA14" s="188"/>
    </row>
    <row r="15">
      <c r="A15" s="61"/>
      <c r="B15" s="155"/>
      <c r="C15" s="61"/>
      <c r="D15" s="61"/>
      <c r="E15" s="150">
        <v>4927.0</v>
      </c>
      <c r="F15" s="150">
        <f t="shared" si="4"/>
        <v>30172</v>
      </c>
      <c r="G15" s="61"/>
      <c r="H15" s="158">
        <f t="shared" si="1"/>
        <v>28083900</v>
      </c>
      <c r="I15" s="158">
        <f>IF(F15="","",(SUM(G11*F15)))</f>
        <v>172734700</v>
      </c>
      <c r="J15" s="159" t="str">
        <f t="shared" si="5"/>
        <v>Open</v>
      </c>
      <c r="K15" s="178"/>
      <c r="L15" s="178"/>
      <c r="M15" s="178"/>
      <c r="N15" s="178"/>
      <c r="O15" s="178"/>
      <c r="P15" s="178"/>
      <c r="Q15" s="178"/>
      <c r="R15" s="178"/>
      <c r="S15" s="178"/>
      <c r="T15" s="178"/>
      <c r="U15" s="178"/>
      <c r="V15" s="178"/>
      <c r="W15" s="178"/>
      <c r="X15" s="178"/>
      <c r="Y15" s="178"/>
      <c r="Z15" s="178"/>
      <c r="AA15" s="188"/>
    </row>
    <row r="16">
      <c r="A16" s="94"/>
      <c r="B16" s="160"/>
      <c r="C16" s="94"/>
      <c r="D16" s="94"/>
      <c r="E16" s="161"/>
      <c r="F16" s="161" t="str">
        <f t="shared" si="4"/>
        <v/>
      </c>
      <c r="G16" s="94"/>
      <c r="H16" s="166" t="str">
        <f t="shared" si="1"/>
        <v/>
      </c>
      <c r="I16" s="166" t="str">
        <f>IF(F16="","",(SUM(G11*F16)))</f>
        <v/>
      </c>
      <c r="J16" s="164" t="str">
        <f t="shared" si="5"/>
        <v/>
      </c>
      <c r="K16" s="178"/>
      <c r="L16" s="178"/>
      <c r="M16" s="178"/>
      <c r="N16" s="178"/>
      <c r="O16" s="178"/>
      <c r="P16" s="178"/>
      <c r="Q16" s="178"/>
      <c r="R16" s="178"/>
      <c r="S16" s="178"/>
      <c r="T16" s="178"/>
      <c r="U16" s="178"/>
      <c r="V16" s="178"/>
      <c r="W16" s="178"/>
      <c r="X16" s="178"/>
      <c r="Y16" s="178"/>
      <c r="Z16" s="178"/>
      <c r="AA16" s="188"/>
    </row>
    <row r="17">
      <c r="A17" s="61"/>
      <c r="B17" s="155"/>
      <c r="C17" s="61"/>
      <c r="D17" s="61"/>
      <c r="E17" s="150"/>
      <c r="F17" s="150" t="str">
        <f t="shared" si="4"/>
        <v/>
      </c>
      <c r="G17" s="61"/>
      <c r="H17" s="168" t="str">
        <f t="shared" si="1"/>
        <v/>
      </c>
      <c r="I17" s="168" t="str">
        <f>IF(F17="","",(SUM(G11*F17)))</f>
        <v/>
      </c>
      <c r="J17" s="159" t="str">
        <f t="shared" si="5"/>
        <v/>
      </c>
      <c r="K17" s="178"/>
      <c r="L17" s="178"/>
      <c r="M17" s="178"/>
      <c r="N17" s="178"/>
      <c r="O17" s="178"/>
      <c r="P17" s="178"/>
      <c r="Q17" s="178"/>
      <c r="R17" s="178"/>
      <c r="S17" s="178"/>
      <c r="T17" s="178"/>
      <c r="U17" s="178"/>
      <c r="V17" s="178"/>
      <c r="W17" s="178"/>
      <c r="X17" s="178"/>
      <c r="Y17" s="178"/>
      <c r="Z17" s="178"/>
      <c r="AA17" s="188"/>
    </row>
    <row r="18">
      <c r="A18" s="138"/>
      <c r="B18" s="160"/>
      <c r="C18" s="138"/>
      <c r="D18" s="138"/>
      <c r="E18" s="161"/>
      <c r="F18" s="161" t="str">
        <f t="shared" si="4"/>
        <v/>
      </c>
      <c r="G18" s="138"/>
      <c r="H18" s="166" t="str">
        <f t="shared" si="1"/>
        <v/>
      </c>
      <c r="I18" s="166" t="str">
        <f>IF(F18="","",(SUM(G11*F18)))</f>
        <v/>
      </c>
      <c r="J18" s="164" t="str">
        <f t="shared" si="5"/>
        <v/>
      </c>
      <c r="K18" s="178"/>
      <c r="L18" s="178"/>
      <c r="M18" s="178"/>
      <c r="N18" s="178"/>
      <c r="O18" s="178"/>
      <c r="P18" s="178"/>
      <c r="Q18" s="178"/>
      <c r="R18" s="178"/>
      <c r="S18" s="178"/>
      <c r="T18" s="178"/>
      <c r="U18" s="178"/>
      <c r="V18" s="178"/>
      <c r="W18" s="178"/>
      <c r="X18" s="178"/>
      <c r="Y18" s="178"/>
      <c r="Z18" s="178"/>
      <c r="AA18" s="188"/>
    </row>
    <row r="19">
      <c r="A19" s="222"/>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88"/>
    </row>
    <row r="20">
      <c r="A20" s="39" t="s">
        <v>205</v>
      </c>
      <c r="K20" s="178"/>
      <c r="L20" s="178"/>
      <c r="M20" s="178"/>
      <c r="N20" s="178"/>
      <c r="O20" s="178"/>
      <c r="P20" s="178"/>
      <c r="Q20" s="178"/>
      <c r="R20" s="178"/>
      <c r="S20" s="178"/>
      <c r="T20" s="178"/>
      <c r="U20" s="178"/>
      <c r="V20" s="178"/>
      <c r="W20" s="178"/>
      <c r="X20" s="178"/>
      <c r="Y20" s="178"/>
      <c r="Z20" s="178"/>
      <c r="AA20" s="188"/>
    </row>
    <row r="21">
      <c r="A21" s="152" t="s">
        <v>146</v>
      </c>
      <c r="B21" s="153" t="s">
        <v>147</v>
      </c>
      <c r="C21" s="152" t="s">
        <v>148</v>
      </c>
      <c r="D21" s="152" t="s">
        <v>149</v>
      </c>
      <c r="E21" s="153" t="s">
        <v>150</v>
      </c>
      <c r="F21" s="154" t="s">
        <v>112</v>
      </c>
      <c r="G21" s="153" t="s">
        <v>151</v>
      </c>
      <c r="H21" s="153" t="s">
        <v>173</v>
      </c>
      <c r="I21" s="153" t="s">
        <v>113</v>
      </c>
      <c r="J21" s="153" t="s">
        <v>154</v>
      </c>
      <c r="K21" s="178"/>
      <c r="L21" s="178"/>
      <c r="M21" s="178"/>
      <c r="N21" s="178"/>
      <c r="O21" s="178"/>
      <c r="P21" s="178"/>
      <c r="Q21" s="178"/>
      <c r="R21" s="178"/>
      <c r="S21" s="178"/>
      <c r="T21" s="178"/>
      <c r="U21" s="178"/>
      <c r="V21" s="178"/>
      <c r="W21" s="178"/>
      <c r="X21" s="178"/>
      <c r="Y21" s="178"/>
      <c r="Z21" s="178"/>
      <c r="AA21" s="188"/>
    </row>
    <row r="22">
      <c r="A22" s="51" t="s">
        <v>206</v>
      </c>
      <c r="B22" s="155">
        <v>45754.0</v>
      </c>
      <c r="C22" s="51" t="s">
        <v>46</v>
      </c>
      <c r="D22" s="51">
        <v>100000.0</v>
      </c>
      <c r="E22" s="150">
        <v>0.0</v>
      </c>
      <c r="F22" s="150">
        <f>D22-E22</f>
        <v>100000</v>
      </c>
      <c r="G22" s="156">
        <v>5775.0</v>
      </c>
      <c r="H22" s="158">
        <f t="shared" ref="H22:H29" si="6">IF(E22="","",(SUM($G$3*E22)))</f>
        <v>0</v>
      </c>
      <c r="I22" s="158">
        <f>F22*G22</f>
        <v>577500000</v>
      </c>
      <c r="J22" s="159" t="str">
        <f>IF(OR(D22="",E22=""),"",IF(F22&lt;=0,"Closed","Open"))</f>
        <v>Open</v>
      </c>
      <c r="K22" s="178"/>
      <c r="L22" s="178"/>
      <c r="M22" s="178"/>
      <c r="N22" s="178"/>
      <c r="O22" s="178"/>
      <c r="P22" s="178"/>
      <c r="Q22" s="178"/>
      <c r="R22" s="178"/>
      <c r="S22" s="178"/>
      <c r="T22" s="178"/>
      <c r="U22" s="178"/>
      <c r="V22" s="178"/>
      <c r="W22" s="178"/>
      <c r="X22" s="178"/>
      <c r="Y22" s="178"/>
      <c r="Z22" s="178"/>
      <c r="AA22" s="188"/>
    </row>
    <row r="23">
      <c r="A23" s="94"/>
      <c r="B23" s="160"/>
      <c r="C23" s="94"/>
      <c r="D23" s="94"/>
      <c r="E23" s="161"/>
      <c r="F23" s="161" t="str">
        <f t="shared" ref="F23:F29" si="7">IF(E23="","",(SUM(F22-E23)))</f>
        <v/>
      </c>
      <c r="G23" s="94"/>
      <c r="H23" s="166" t="str">
        <f t="shared" si="6"/>
        <v/>
      </c>
      <c r="I23" s="166" t="str">
        <f>IF(F23="","",(SUM(G22*F23)))</f>
        <v/>
      </c>
      <c r="J23" s="164" t="str">
        <f t="shared" ref="J23:J29" si="8">IF(OR(F23="",E23=""),"",IF(F23&lt;=0,"Closed","Open"))</f>
        <v/>
      </c>
      <c r="K23" s="178"/>
      <c r="L23" s="178"/>
      <c r="M23" s="178"/>
      <c r="N23" s="178"/>
      <c r="O23" s="178"/>
      <c r="P23" s="178"/>
      <c r="Q23" s="178"/>
      <c r="R23" s="178"/>
      <c r="S23" s="178"/>
      <c r="T23" s="178"/>
      <c r="U23" s="178"/>
      <c r="V23" s="178"/>
      <c r="W23" s="178"/>
      <c r="X23" s="178"/>
      <c r="Y23" s="178"/>
      <c r="Z23" s="178"/>
      <c r="AA23" s="188"/>
    </row>
    <row r="24">
      <c r="A24" s="61"/>
      <c r="B24" s="155"/>
      <c r="C24" s="61"/>
      <c r="D24" s="61"/>
      <c r="E24" s="150"/>
      <c r="F24" s="150" t="str">
        <f t="shared" si="7"/>
        <v/>
      </c>
      <c r="G24" s="61"/>
      <c r="H24" s="168" t="str">
        <f t="shared" si="6"/>
        <v/>
      </c>
      <c r="I24" s="168" t="str">
        <f>IF(F24="","",(SUM(G22*F24)))</f>
        <v/>
      </c>
      <c r="J24" s="159" t="str">
        <f t="shared" si="8"/>
        <v/>
      </c>
      <c r="K24" s="178"/>
      <c r="L24" s="178"/>
      <c r="M24" s="178"/>
      <c r="N24" s="178"/>
      <c r="O24" s="178"/>
      <c r="P24" s="178"/>
      <c r="Q24" s="178"/>
      <c r="R24" s="178"/>
      <c r="S24" s="178"/>
      <c r="T24" s="178"/>
      <c r="U24" s="178"/>
      <c r="V24" s="178"/>
      <c r="W24" s="178"/>
      <c r="X24" s="178"/>
      <c r="Y24" s="178"/>
      <c r="Z24" s="178"/>
      <c r="AA24" s="188"/>
    </row>
    <row r="25">
      <c r="A25" s="94"/>
      <c r="B25" s="160"/>
      <c r="C25" s="94"/>
      <c r="D25" s="94"/>
      <c r="E25" s="161"/>
      <c r="F25" s="161" t="str">
        <f t="shared" si="7"/>
        <v/>
      </c>
      <c r="G25" s="94"/>
      <c r="H25" s="166" t="str">
        <f t="shared" si="6"/>
        <v/>
      </c>
      <c r="I25" s="166" t="str">
        <f>IF(F25="","",(SUM(G22*F25)))</f>
        <v/>
      </c>
      <c r="J25" s="164" t="str">
        <f t="shared" si="8"/>
        <v/>
      </c>
      <c r="K25" s="178"/>
      <c r="L25" s="178"/>
      <c r="M25" s="178"/>
      <c r="N25" s="178"/>
      <c r="O25" s="178"/>
      <c r="P25" s="178"/>
      <c r="Q25" s="178"/>
      <c r="R25" s="178"/>
      <c r="S25" s="178"/>
      <c r="T25" s="178"/>
      <c r="U25" s="178"/>
      <c r="V25" s="178"/>
      <c r="W25" s="178"/>
      <c r="X25" s="178"/>
      <c r="Y25" s="178"/>
      <c r="Z25" s="178"/>
      <c r="AA25" s="188"/>
    </row>
    <row r="26">
      <c r="A26" s="61"/>
      <c r="B26" s="155"/>
      <c r="C26" s="61"/>
      <c r="D26" s="61"/>
      <c r="E26" s="150"/>
      <c r="F26" s="150" t="str">
        <f t="shared" si="7"/>
        <v/>
      </c>
      <c r="G26" s="61"/>
      <c r="H26" s="168" t="str">
        <f t="shared" si="6"/>
        <v/>
      </c>
      <c r="I26" s="168" t="str">
        <f>IF(F26="","",(SUM(G22*F26)))</f>
        <v/>
      </c>
      <c r="J26" s="159" t="str">
        <f t="shared" si="8"/>
        <v/>
      </c>
      <c r="K26" s="178"/>
      <c r="L26" s="178"/>
      <c r="M26" s="178"/>
      <c r="N26" s="178"/>
      <c r="O26" s="178"/>
      <c r="P26" s="178"/>
      <c r="Q26" s="178"/>
      <c r="R26" s="178"/>
      <c r="S26" s="178"/>
      <c r="T26" s="178"/>
      <c r="U26" s="178"/>
      <c r="V26" s="178"/>
      <c r="W26" s="178"/>
      <c r="X26" s="178"/>
      <c r="Y26" s="178"/>
      <c r="Z26" s="178"/>
      <c r="AA26" s="188"/>
    </row>
    <row r="27">
      <c r="A27" s="94"/>
      <c r="B27" s="160"/>
      <c r="C27" s="94"/>
      <c r="D27" s="94"/>
      <c r="E27" s="161"/>
      <c r="F27" s="161" t="str">
        <f t="shared" si="7"/>
        <v/>
      </c>
      <c r="G27" s="94"/>
      <c r="H27" s="166" t="str">
        <f t="shared" si="6"/>
        <v/>
      </c>
      <c r="I27" s="166" t="str">
        <f>IF(F27="","",(SUM(G22*F27)))</f>
        <v/>
      </c>
      <c r="J27" s="164" t="str">
        <f t="shared" si="8"/>
        <v/>
      </c>
      <c r="K27" s="178"/>
      <c r="L27" s="178"/>
      <c r="M27" s="178"/>
      <c r="N27" s="178"/>
      <c r="O27" s="178"/>
      <c r="P27" s="178"/>
      <c r="Q27" s="178"/>
      <c r="R27" s="178"/>
      <c r="S27" s="178"/>
      <c r="T27" s="178"/>
      <c r="U27" s="178"/>
      <c r="V27" s="178"/>
      <c r="W27" s="178"/>
      <c r="X27" s="178"/>
      <c r="Y27" s="178"/>
      <c r="Z27" s="178"/>
      <c r="AA27" s="188"/>
    </row>
    <row r="28">
      <c r="A28" s="61"/>
      <c r="B28" s="155"/>
      <c r="C28" s="61"/>
      <c r="D28" s="61"/>
      <c r="E28" s="150"/>
      <c r="F28" s="150" t="str">
        <f t="shared" si="7"/>
        <v/>
      </c>
      <c r="G28" s="61"/>
      <c r="H28" s="168" t="str">
        <f t="shared" si="6"/>
        <v/>
      </c>
      <c r="I28" s="168" t="str">
        <f>IF(F28="","",(SUM(G22*F28)))</f>
        <v/>
      </c>
      <c r="J28" s="159" t="str">
        <f t="shared" si="8"/>
        <v/>
      </c>
      <c r="K28" s="178"/>
      <c r="L28" s="178"/>
      <c r="M28" s="178"/>
      <c r="N28" s="178"/>
      <c r="O28" s="178"/>
      <c r="P28" s="178"/>
      <c r="Q28" s="178"/>
      <c r="R28" s="178"/>
      <c r="S28" s="178"/>
      <c r="T28" s="178"/>
      <c r="U28" s="178"/>
      <c r="V28" s="178"/>
      <c r="W28" s="178"/>
      <c r="X28" s="178"/>
      <c r="Y28" s="178"/>
      <c r="Z28" s="178"/>
      <c r="AA28" s="188"/>
    </row>
    <row r="29">
      <c r="A29" s="138"/>
      <c r="B29" s="160"/>
      <c r="C29" s="138"/>
      <c r="D29" s="138"/>
      <c r="E29" s="161"/>
      <c r="F29" s="161" t="str">
        <f t="shared" si="7"/>
        <v/>
      </c>
      <c r="G29" s="138"/>
      <c r="H29" s="166" t="str">
        <f t="shared" si="6"/>
        <v/>
      </c>
      <c r="I29" s="166" t="str">
        <f>IF(F29="","",(SUM(G22*F29)))</f>
        <v/>
      </c>
      <c r="J29" s="164" t="str">
        <f t="shared" si="8"/>
        <v/>
      </c>
      <c r="K29" s="178"/>
      <c r="L29" s="178"/>
      <c r="M29" s="178"/>
      <c r="N29" s="178"/>
      <c r="O29" s="178"/>
      <c r="P29" s="178"/>
      <c r="Q29" s="178"/>
      <c r="R29" s="178"/>
      <c r="S29" s="178"/>
      <c r="T29" s="178"/>
      <c r="U29" s="178"/>
      <c r="V29" s="178"/>
      <c r="W29" s="178"/>
      <c r="X29" s="178"/>
      <c r="Y29" s="178"/>
      <c r="Z29" s="178"/>
      <c r="AA29" s="188"/>
    </row>
    <row r="30">
      <c r="A30" s="222"/>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c r="AA30" s="188"/>
    </row>
    <row r="31">
      <c r="A31" s="152" t="s">
        <v>146</v>
      </c>
      <c r="B31" s="153" t="s">
        <v>147</v>
      </c>
      <c r="C31" s="152" t="s">
        <v>148</v>
      </c>
      <c r="D31" s="152" t="s">
        <v>149</v>
      </c>
      <c r="E31" s="153" t="s">
        <v>150</v>
      </c>
      <c r="F31" s="154" t="s">
        <v>112</v>
      </c>
      <c r="G31" s="153" t="s">
        <v>151</v>
      </c>
      <c r="H31" s="153" t="s">
        <v>173</v>
      </c>
      <c r="I31" s="153" t="s">
        <v>113</v>
      </c>
      <c r="J31" s="153" t="s">
        <v>154</v>
      </c>
      <c r="K31" s="178"/>
      <c r="L31" s="178"/>
      <c r="M31" s="178"/>
      <c r="N31" s="178"/>
      <c r="O31" s="178"/>
      <c r="P31" s="178"/>
      <c r="Q31" s="178"/>
      <c r="R31" s="178"/>
      <c r="S31" s="178"/>
      <c r="T31" s="178"/>
      <c r="U31" s="178"/>
      <c r="V31" s="178"/>
      <c r="W31" s="178"/>
      <c r="X31" s="178"/>
      <c r="Y31" s="178"/>
      <c r="Z31" s="178"/>
      <c r="AA31" s="188"/>
    </row>
    <row r="32">
      <c r="A32" s="51" t="s">
        <v>207</v>
      </c>
      <c r="B32" s="155">
        <v>45793.0</v>
      </c>
      <c r="C32" s="51" t="s">
        <v>50</v>
      </c>
      <c r="D32" s="51">
        <v>100000.0</v>
      </c>
      <c r="E32" s="150">
        <v>0.0</v>
      </c>
      <c r="F32" s="150">
        <f>D32-E32</f>
        <v>100000</v>
      </c>
      <c r="G32" s="156">
        <v>5400.0</v>
      </c>
      <c r="H32" s="158">
        <f t="shared" ref="H32:H39" si="9">IF(E32="","",(SUM($G$3*E32)))</f>
        <v>0</v>
      </c>
      <c r="I32" s="158">
        <f>F32*G32</f>
        <v>540000000</v>
      </c>
      <c r="J32" s="159" t="str">
        <f>IF(OR(D32="",E32=""),"",IF(F32&lt;=0,"Closed","Open"))</f>
        <v>Open</v>
      </c>
      <c r="K32" s="178"/>
      <c r="L32" s="178"/>
      <c r="M32" s="178"/>
      <c r="N32" s="178"/>
      <c r="O32" s="178"/>
      <c r="P32" s="178"/>
      <c r="Q32" s="178"/>
      <c r="R32" s="178"/>
      <c r="S32" s="178"/>
      <c r="T32" s="178"/>
      <c r="U32" s="178"/>
      <c r="V32" s="178"/>
      <c r="W32" s="178"/>
      <c r="X32" s="178"/>
      <c r="Y32" s="178"/>
      <c r="Z32" s="178"/>
      <c r="AA32" s="188"/>
    </row>
    <row r="33">
      <c r="A33" s="94"/>
      <c r="B33" s="160"/>
      <c r="C33" s="94"/>
      <c r="D33" s="94"/>
      <c r="E33" s="161"/>
      <c r="F33" s="161" t="str">
        <f t="shared" ref="F33:F39" si="10">IF(E33="","",(SUM(F32-E33)))</f>
        <v/>
      </c>
      <c r="G33" s="94"/>
      <c r="H33" s="166" t="str">
        <f t="shared" si="9"/>
        <v/>
      </c>
      <c r="I33" s="166" t="str">
        <f>IF(F33="","",(SUM(G32*F33)))</f>
        <v/>
      </c>
      <c r="J33" s="164" t="str">
        <f t="shared" ref="J33:J39" si="11">IF(OR(F33="",E33=""),"",IF(F33&lt;=0,"Closed","Open"))</f>
        <v/>
      </c>
      <c r="K33" s="178"/>
      <c r="L33" s="178"/>
      <c r="M33" s="178"/>
      <c r="N33" s="178"/>
      <c r="O33" s="178"/>
      <c r="P33" s="178"/>
      <c r="Q33" s="178"/>
      <c r="R33" s="178"/>
      <c r="S33" s="178"/>
      <c r="T33" s="178"/>
      <c r="U33" s="178"/>
      <c r="V33" s="178"/>
      <c r="W33" s="178"/>
      <c r="X33" s="178"/>
      <c r="Y33" s="178"/>
      <c r="Z33" s="178"/>
      <c r="AA33" s="188"/>
    </row>
    <row r="34">
      <c r="A34" s="61"/>
      <c r="B34" s="155"/>
      <c r="C34" s="61"/>
      <c r="D34" s="61"/>
      <c r="E34" s="150"/>
      <c r="F34" s="150" t="str">
        <f t="shared" si="10"/>
        <v/>
      </c>
      <c r="G34" s="61"/>
      <c r="H34" s="168" t="str">
        <f t="shared" si="9"/>
        <v/>
      </c>
      <c r="I34" s="168" t="str">
        <f>IF(F34="","",(SUM(G32*F34)))</f>
        <v/>
      </c>
      <c r="J34" s="159" t="str">
        <f t="shared" si="11"/>
        <v/>
      </c>
      <c r="K34" s="178"/>
      <c r="L34" s="178"/>
      <c r="M34" s="178"/>
      <c r="N34" s="178"/>
      <c r="O34" s="178"/>
      <c r="P34" s="178"/>
      <c r="Q34" s="178"/>
      <c r="R34" s="178"/>
      <c r="S34" s="178"/>
      <c r="T34" s="178"/>
      <c r="U34" s="178"/>
      <c r="V34" s="178"/>
      <c r="W34" s="178"/>
      <c r="X34" s="178"/>
      <c r="Y34" s="178"/>
      <c r="Z34" s="178"/>
      <c r="AA34" s="188"/>
    </row>
    <row r="35">
      <c r="A35" s="94"/>
      <c r="B35" s="160"/>
      <c r="C35" s="94"/>
      <c r="D35" s="94"/>
      <c r="E35" s="161"/>
      <c r="F35" s="161" t="str">
        <f t="shared" si="10"/>
        <v/>
      </c>
      <c r="G35" s="94"/>
      <c r="H35" s="166" t="str">
        <f t="shared" si="9"/>
        <v/>
      </c>
      <c r="I35" s="166" t="str">
        <f>IF(F35="","",(SUM(G32*F35)))</f>
        <v/>
      </c>
      <c r="J35" s="164" t="str">
        <f t="shared" si="11"/>
        <v/>
      </c>
      <c r="K35" s="178"/>
      <c r="L35" s="178"/>
      <c r="M35" s="178"/>
      <c r="N35" s="178"/>
      <c r="O35" s="178"/>
      <c r="P35" s="178"/>
      <c r="Q35" s="178"/>
      <c r="R35" s="178"/>
      <c r="S35" s="178"/>
      <c r="T35" s="178"/>
      <c r="U35" s="178"/>
      <c r="V35" s="178"/>
      <c r="W35" s="178"/>
      <c r="X35" s="178"/>
      <c r="Y35" s="178"/>
      <c r="Z35" s="178"/>
      <c r="AA35" s="188"/>
    </row>
    <row r="36">
      <c r="A36" s="61"/>
      <c r="B36" s="155"/>
      <c r="C36" s="61"/>
      <c r="D36" s="61"/>
      <c r="E36" s="150"/>
      <c r="F36" s="150" t="str">
        <f t="shared" si="10"/>
        <v/>
      </c>
      <c r="G36" s="61"/>
      <c r="H36" s="168" t="str">
        <f t="shared" si="9"/>
        <v/>
      </c>
      <c r="I36" s="168" t="str">
        <f>IF(F36="","",(SUM(G32*F36)))</f>
        <v/>
      </c>
      <c r="J36" s="159" t="str">
        <f t="shared" si="11"/>
        <v/>
      </c>
      <c r="K36" s="178"/>
      <c r="L36" s="178"/>
      <c r="M36" s="178"/>
      <c r="N36" s="178"/>
      <c r="O36" s="178"/>
      <c r="P36" s="178"/>
      <c r="Q36" s="178"/>
      <c r="R36" s="178"/>
      <c r="S36" s="178"/>
      <c r="T36" s="178"/>
      <c r="U36" s="178"/>
      <c r="V36" s="178"/>
      <c r="W36" s="178"/>
      <c r="X36" s="178"/>
      <c r="Y36" s="178"/>
      <c r="Z36" s="178"/>
      <c r="AA36" s="188"/>
    </row>
    <row r="37">
      <c r="A37" s="94"/>
      <c r="B37" s="160"/>
      <c r="C37" s="94"/>
      <c r="D37" s="94"/>
      <c r="E37" s="161"/>
      <c r="F37" s="161" t="str">
        <f t="shared" si="10"/>
        <v/>
      </c>
      <c r="G37" s="94"/>
      <c r="H37" s="166" t="str">
        <f t="shared" si="9"/>
        <v/>
      </c>
      <c r="I37" s="166" t="str">
        <f>IF(F37="","",(SUM(G32*F37)))</f>
        <v/>
      </c>
      <c r="J37" s="164" t="str">
        <f t="shared" si="11"/>
        <v/>
      </c>
      <c r="K37" s="178"/>
      <c r="L37" s="178"/>
      <c r="M37" s="178"/>
      <c r="N37" s="178"/>
      <c r="O37" s="178"/>
      <c r="P37" s="178"/>
      <c r="Q37" s="178"/>
      <c r="R37" s="178"/>
      <c r="S37" s="178"/>
      <c r="T37" s="178"/>
      <c r="U37" s="178"/>
      <c r="V37" s="178"/>
      <c r="W37" s="178"/>
      <c r="X37" s="178"/>
      <c r="Y37" s="178"/>
      <c r="Z37" s="178"/>
      <c r="AA37" s="188"/>
    </row>
    <row r="38">
      <c r="A38" s="61"/>
      <c r="B38" s="155"/>
      <c r="C38" s="61"/>
      <c r="D38" s="61"/>
      <c r="E38" s="150"/>
      <c r="F38" s="150" t="str">
        <f t="shared" si="10"/>
        <v/>
      </c>
      <c r="G38" s="61"/>
      <c r="H38" s="168" t="str">
        <f t="shared" si="9"/>
        <v/>
      </c>
      <c r="I38" s="168" t="str">
        <f>IF(F38="","",(SUM(G32*F38)))</f>
        <v/>
      </c>
      <c r="J38" s="159" t="str">
        <f t="shared" si="11"/>
        <v/>
      </c>
      <c r="K38" s="178"/>
      <c r="L38" s="178"/>
      <c r="M38" s="178"/>
      <c r="N38" s="178"/>
      <c r="O38" s="178"/>
      <c r="P38" s="178"/>
      <c r="Q38" s="178"/>
      <c r="R38" s="178"/>
      <c r="S38" s="178"/>
      <c r="T38" s="178"/>
      <c r="U38" s="178"/>
      <c r="V38" s="178"/>
      <c r="W38" s="178"/>
      <c r="X38" s="178"/>
      <c r="Y38" s="178"/>
      <c r="Z38" s="178"/>
      <c r="AA38" s="188"/>
    </row>
    <row r="39">
      <c r="A39" s="138"/>
      <c r="B39" s="160"/>
      <c r="C39" s="138"/>
      <c r="D39" s="138"/>
      <c r="E39" s="161"/>
      <c r="F39" s="161" t="str">
        <f t="shared" si="10"/>
        <v/>
      </c>
      <c r="G39" s="138"/>
      <c r="H39" s="166" t="str">
        <f t="shared" si="9"/>
        <v/>
      </c>
      <c r="I39" s="166" t="str">
        <f>IF(F39="","",(SUM(G32*F39)))</f>
        <v/>
      </c>
      <c r="J39" s="164" t="str">
        <f t="shared" si="11"/>
        <v/>
      </c>
      <c r="K39" s="178"/>
      <c r="L39" s="178"/>
      <c r="M39" s="178"/>
      <c r="N39" s="178"/>
      <c r="O39" s="178"/>
      <c r="P39" s="178"/>
      <c r="Q39" s="178"/>
      <c r="R39" s="178"/>
      <c r="S39" s="178"/>
      <c r="T39" s="178"/>
      <c r="U39" s="178"/>
      <c r="V39" s="178"/>
      <c r="W39" s="178"/>
      <c r="X39" s="178"/>
      <c r="Y39" s="178"/>
      <c r="Z39" s="178"/>
      <c r="AA39" s="188"/>
    </row>
    <row r="40">
      <c r="A40" s="222"/>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88"/>
    </row>
    <row r="41">
      <c r="A41" s="222"/>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88"/>
    </row>
    <row r="42">
      <c r="A42" s="222"/>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88"/>
    </row>
    <row r="43">
      <c r="A43" s="222"/>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88"/>
    </row>
    <row r="44">
      <c r="A44" s="222"/>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88"/>
    </row>
    <row r="45">
      <c r="A45" s="222"/>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88"/>
    </row>
    <row r="46">
      <c r="A46" s="222"/>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88"/>
    </row>
    <row r="47">
      <c r="A47" s="222"/>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88"/>
    </row>
    <row r="48">
      <c r="A48" s="222"/>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88"/>
    </row>
    <row r="49">
      <c r="A49" s="222"/>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88"/>
    </row>
    <row r="50">
      <c r="A50" s="222"/>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88"/>
    </row>
    <row r="51">
      <c r="A51" s="222"/>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88"/>
    </row>
    <row r="52">
      <c r="A52" s="222"/>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88"/>
    </row>
    <row r="53">
      <c r="A53" s="222"/>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88"/>
    </row>
    <row r="54">
      <c r="A54" s="222"/>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88"/>
    </row>
    <row r="55">
      <c r="A55" s="222"/>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88"/>
    </row>
    <row r="56">
      <c r="A56" s="222"/>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88"/>
    </row>
    <row r="57">
      <c r="A57" s="222"/>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88"/>
    </row>
    <row r="58">
      <c r="A58" s="222"/>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88"/>
    </row>
    <row r="59">
      <c r="A59" s="222"/>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88"/>
    </row>
    <row r="60">
      <c r="A60" s="222"/>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88"/>
    </row>
    <row r="61">
      <c r="A61" s="222"/>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88"/>
    </row>
    <row r="62">
      <c r="A62" s="222"/>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88"/>
    </row>
    <row r="63">
      <c r="A63" s="222"/>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88"/>
    </row>
    <row r="64">
      <c r="A64" s="222"/>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88"/>
    </row>
    <row r="65">
      <c r="A65" s="222"/>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88"/>
    </row>
    <row r="66">
      <c r="A66" s="222"/>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88"/>
    </row>
    <row r="67">
      <c r="A67" s="222"/>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88"/>
    </row>
    <row r="68">
      <c r="A68" s="222"/>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88"/>
    </row>
    <row r="69">
      <c r="A69" s="222"/>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88"/>
    </row>
    <row r="70">
      <c r="A70" s="222"/>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88"/>
    </row>
    <row r="71">
      <c r="A71" s="222"/>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88"/>
    </row>
    <row r="72">
      <c r="A72" s="222"/>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88"/>
    </row>
    <row r="73">
      <c r="A73" s="222"/>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88"/>
    </row>
    <row r="74">
      <c r="A74" s="222"/>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88"/>
    </row>
    <row r="75">
      <c r="A75" s="222"/>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88"/>
    </row>
    <row r="76">
      <c r="A76" s="222"/>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88"/>
    </row>
    <row r="77">
      <c r="A77" s="222"/>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88"/>
    </row>
    <row r="78">
      <c r="A78" s="222"/>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88"/>
    </row>
    <row r="79">
      <c r="A79" s="222"/>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88"/>
    </row>
    <row r="80">
      <c r="A80" s="222"/>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88"/>
    </row>
    <row r="81">
      <c r="A81" s="222"/>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88"/>
    </row>
    <row r="82">
      <c r="A82" s="222"/>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88"/>
    </row>
    <row r="83">
      <c r="A83" s="222"/>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88"/>
    </row>
    <row r="84">
      <c r="A84" s="222"/>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88"/>
    </row>
    <row r="85">
      <c r="A85" s="222"/>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88"/>
    </row>
    <row r="86">
      <c r="A86" s="222"/>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88"/>
    </row>
    <row r="87">
      <c r="A87" s="222"/>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88"/>
    </row>
    <row r="88">
      <c r="A88" s="222"/>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88"/>
    </row>
    <row r="89">
      <c r="A89" s="222"/>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88"/>
    </row>
    <row r="90">
      <c r="A90" s="222"/>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88"/>
    </row>
    <row r="91">
      <c r="A91" s="222"/>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88"/>
    </row>
    <row r="92">
      <c r="A92" s="222"/>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88"/>
    </row>
    <row r="93">
      <c r="A93" s="222"/>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88"/>
    </row>
    <row r="94">
      <c r="A94" s="222"/>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88"/>
    </row>
    <row r="95">
      <c r="A95" s="222"/>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88"/>
    </row>
    <row r="96">
      <c r="A96" s="222"/>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88"/>
    </row>
    <row r="97">
      <c r="A97" s="222"/>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88"/>
    </row>
    <row r="98">
      <c r="A98" s="222"/>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88"/>
    </row>
    <row r="99">
      <c r="A99" s="222"/>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88"/>
    </row>
    <row r="100">
      <c r="A100" s="222"/>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88"/>
    </row>
    <row r="101">
      <c r="A101" s="222"/>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88"/>
    </row>
    <row r="102">
      <c r="A102" s="222"/>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88"/>
    </row>
    <row r="103">
      <c r="A103" s="222"/>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88"/>
    </row>
    <row r="104">
      <c r="A104" s="222"/>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88"/>
    </row>
    <row r="105">
      <c r="A105" s="222"/>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88"/>
    </row>
    <row r="106">
      <c r="A106" s="222"/>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88"/>
    </row>
    <row r="107">
      <c r="A107" s="222"/>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88"/>
    </row>
    <row r="108">
      <c r="A108" s="222"/>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88"/>
    </row>
    <row r="109">
      <c r="A109" s="222"/>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88"/>
    </row>
    <row r="110">
      <c r="A110" s="222"/>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88"/>
    </row>
    <row r="111">
      <c r="A111" s="222"/>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88"/>
    </row>
    <row r="112">
      <c r="A112" s="222"/>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88"/>
    </row>
    <row r="113">
      <c r="A113" s="222"/>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88"/>
    </row>
    <row r="114">
      <c r="A114" s="222"/>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88"/>
    </row>
    <row r="115">
      <c r="A115" s="222"/>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88"/>
    </row>
    <row r="116">
      <c r="A116" s="222"/>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88"/>
    </row>
    <row r="117">
      <c r="A117" s="222"/>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88"/>
    </row>
    <row r="118">
      <c r="A118" s="222"/>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88"/>
    </row>
    <row r="119">
      <c r="A119" s="222"/>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88"/>
    </row>
    <row r="120">
      <c r="A120" s="222"/>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88"/>
    </row>
    <row r="121">
      <c r="A121" s="222"/>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88"/>
    </row>
    <row r="122">
      <c r="A122" s="222"/>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88"/>
    </row>
    <row r="123">
      <c r="A123" s="222"/>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88"/>
    </row>
    <row r="124">
      <c r="A124" s="222"/>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88"/>
    </row>
    <row r="125">
      <c r="A125" s="222"/>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88"/>
    </row>
    <row r="126">
      <c r="A126" s="222"/>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88"/>
    </row>
    <row r="127">
      <c r="A127" s="222"/>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88"/>
    </row>
    <row r="128">
      <c r="A128" s="222"/>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88"/>
    </row>
    <row r="129">
      <c r="A129" s="222"/>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88"/>
    </row>
    <row r="130">
      <c r="A130" s="222"/>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88"/>
    </row>
    <row r="131">
      <c r="A131" s="222"/>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88"/>
    </row>
    <row r="132">
      <c r="A132" s="222"/>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88"/>
    </row>
    <row r="133">
      <c r="A133" s="222"/>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88"/>
    </row>
    <row r="134">
      <c r="A134" s="222"/>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88"/>
    </row>
    <row r="135">
      <c r="A135" s="222"/>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88"/>
    </row>
    <row r="136">
      <c r="A136" s="222"/>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88"/>
    </row>
    <row r="137">
      <c r="A137" s="222"/>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88"/>
    </row>
    <row r="138">
      <c r="A138" s="222"/>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88"/>
    </row>
    <row r="139">
      <c r="A139" s="222"/>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88"/>
    </row>
    <row r="140">
      <c r="A140" s="222"/>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88"/>
    </row>
    <row r="141">
      <c r="A141" s="222"/>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88"/>
    </row>
    <row r="142">
      <c r="A142" s="222"/>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88"/>
    </row>
    <row r="143">
      <c r="A143" s="222"/>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88"/>
    </row>
    <row r="144">
      <c r="A144" s="222"/>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88"/>
    </row>
    <row r="145">
      <c r="A145" s="222"/>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88"/>
    </row>
    <row r="146">
      <c r="A146" s="222"/>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88"/>
    </row>
    <row r="147">
      <c r="A147" s="222"/>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88"/>
    </row>
    <row r="148">
      <c r="A148" s="222"/>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88"/>
    </row>
    <row r="149">
      <c r="A149" s="222"/>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88"/>
    </row>
    <row r="150">
      <c r="A150" s="222"/>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88"/>
    </row>
    <row r="151">
      <c r="A151" s="222"/>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88"/>
    </row>
    <row r="152">
      <c r="A152" s="222"/>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88"/>
    </row>
    <row r="153">
      <c r="A153" s="222"/>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88"/>
    </row>
    <row r="154">
      <c r="A154" s="222"/>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88"/>
    </row>
    <row r="155">
      <c r="A155" s="222"/>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88"/>
    </row>
    <row r="156">
      <c r="A156" s="222"/>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88"/>
    </row>
    <row r="157">
      <c r="A157" s="222"/>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88"/>
    </row>
    <row r="158">
      <c r="A158" s="222"/>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88"/>
    </row>
    <row r="159">
      <c r="A159" s="222"/>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88"/>
    </row>
    <row r="160">
      <c r="A160" s="222"/>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88"/>
    </row>
    <row r="161">
      <c r="A161" s="222"/>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88"/>
    </row>
    <row r="162">
      <c r="A162" s="222"/>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88"/>
    </row>
    <row r="163">
      <c r="A163" s="222"/>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88"/>
    </row>
    <row r="164">
      <c r="A164" s="222"/>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88"/>
    </row>
    <row r="165">
      <c r="A165" s="222"/>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88"/>
    </row>
    <row r="166">
      <c r="A166" s="222"/>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88"/>
    </row>
    <row r="167">
      <c r="A167" s="222"/>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88"/>
    </row>
    <row r="168">
      <c r="A168" s="222"/>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88"/>
    </row>
    <row r="169">
      <c r="A169" s="222"/>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88"/>
    </row>
    <row r="170">
      <c r="A170" s="222"/>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88"/>
    </row>
    <row r="171">
      <c r="A171" s="222"/>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88"/>
    </row>
    <row r="172">
      <c r="A172" s="222"/>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88"/>
    </row>
    <row r="173">
      <c r="A173" s="222"/>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88"/>
    </row>
    <row r="174">
      <c r="A174" s="222"/>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88"/>
    </row>
    <row r="175">
      <c r="A175" s="222"/>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88"/>
    </row>
    <row r="176">
      <c r="A176" s="222"/>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88"/>
    </row>
    <row r="177">
      <c r="A177" s="222"/>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88"/>
    </row>
    <row r="178">
      <c r="A178" s="222"/>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88"/>
    </row>
    <row r="179">
      <c r="A179" s="222"/>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88"/>
    </row>
    <row r="180">
      <c r="A180" s="222"/>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88"/>
    </row>
    <row r="181">
      <c r="A181" s="222"/>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88"/>
    </row>
    <row r="182">
      <c r="A182" s="222"/>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88"/>
    </row>
    <row r="183">
      <c r="A183" s="222"/>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88"/>
    </row>
    <row r="184">
      <c r="A184" s="222"/>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88"/>
    </row>
    <row r="185">
      <c r="A185" s="222"/>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88"/>
    </row>
    <row r="186">
      <c r="A186" s="222"/>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88"/>
    </row>
    <row r="187">
      <c r="A187" s="222"/>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88"/>
    </row>
    <row r="188">
      <c r="A188" s="222"/>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88"/>
    </row>
    <row r="189">
      <c r="A189" s="222"/>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88"/>
    </row>
    <row r="190">
      <c r="A190" s="222"/>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88"/>
    </row>
    <row r="191">
      <c r="A191" s="222"/>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88"/>
    </row>
    <row r="192">
      <c r="A192" s="222"/>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88"/>
    </row>
    <row r="193">
      <c r="A193" s="222"/>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88"/>
    </row>
    <row r="194">
      <c r="A194" s="222"/>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88"/>
    </row>
    <row r="195">
      <c r="A195" s="222"/>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88"/>
    </row>
    <row r="196">
      <c r="A196" s="222"/>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88"/>
    </row>
    <row r="197">
      <c r="A197" s="222"/>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88"/>
    </row>
    <row r="198">
      <c r="A198" s="222"/>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88"/>
    </row>
    <row r="199">
      <c r="A199" s="222"/>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88"/>
    </row>
    <row r="200">
      <c r="A200" s="222"/>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88"/>
    </row>
    <row r="201">
      <c r="A201" s="222"/>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88"/>
    </row>
    <row r="202">
      <c r="A202" s="222"/>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88"/>
    </row>
    <row r="203">
      <c r="A203" s="222"/>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88"/>
    </row>
    <row r="204">
      <c r="A204" s="222"/>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88"/>
    </row>
    <row r="205">
      <c r="A205" s="222"/>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88"/>
    </row>
    <row r="206">
      <c r="A206" s="222"/>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88"/>
    </row>
    <row r="207">
      <c r="A207" s="222"/>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88"/>
    </row>
    <row r="208">
      <c r="A208" s="222"/>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88"/>
    </row>
    <row r="209">
      <c r="A209" s="222"/>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88"/>
    </row>
    <row r="210">
      <c r="A210" s="222"/>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88"/>
    </row>
    <row r="211">
      <c r="A211" s="222"/>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88"/>
    </row>
    <row r="212">
      <c r="A212" s="222"/>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88"/>
    </row>
    <row r="213">
      <c r="A213" s="222"/>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88"/>
    </row>
    <row r="214">
      <c r="A214" s="222"/>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88"/>
    </row>
    <row r="215">
      <c r="A215" s="222"/>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88"/>
    </row>
    <row r="216">
      <c r="A216" s="222"/>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88"/>
    </row>
    <row r="217">
      <c r="A217" s="222"/>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88"/>
    </row>
    <row r="218">
      <c r="A218" s="222"/>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88"/>
    </row>
    <row r="219">
      <c r="A219" s="222"/>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88"/>
    </row>
    <row r="220">
      <c r="A220" s="222"/>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88"/>
    </row>
    <row r="221">
      <c r="A221" s="222"/>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88"/>
    </row>
    <row r="222">
      <c r="A222" s="222"/>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88"/>
    </row>
    <row r="223">
      <c r="A223" s="222"/>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88"/>
    </row>
    <row r="224">
      <c r="A224" s="222"/>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88"/>
    </row>
    <row r="225">
      <c r="A225" s="222"/>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88"/>
    </row>
    <row r="226">
      <c r="A226" s="222"/>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88"/>
    </row>
    <row r="227">
      <c r="A227" s="222"/>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88"/>
    </row>
    <row r="228">
      <c r="A228" s="222"/>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88"/>
    </row>
    <row r="229">
      <c r="A229" s="222"/>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88"/>
    </row>
    <row r="230">
      <c r="A230" s="222"/>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88"/>
    </row>
    <row r="231">
      <c r="A231" s="222"/>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88"/>
    </row>
    <row r="232">
      <c r="A232" s="222"/>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88"/>
    </row>
    <row r="233">
      <c r="A233" s="222"/>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88"/>
    </row>
    <row r="234">
      <c r="A234" s="222"/>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88"/>
    </row>
    <row r="235">
      <c r="A235" s="222"/>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88"/>
    </row>
    <row r="236">
      <c r="A236" s="222"/>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88"/>
    </row>
    <row r="237">
      <c r="A237" s="222"/>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88"/>
    </row>
    <row r="238">
      <c r="A238" s="222"/>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88"/>
    </row>
    <row r="239">
      <c r="A239" s="222"/>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88"/>
    </row>
    <row r="240">
      <c r="A240" s="222"/>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88"/>
    </row>
    <row r="241">
      <c r="A241" s="222"/>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88"/>
    </row>
    <row r="242">
      <c r="A242" s="222"/>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88"/>
    </row>
    <row r="243">
      <c r="A243" s="222"/>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88"/>
    </row>
    <row r="244">
      <c r="A244" s="222"/>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88"/>
    </row>
    <row r="245">
      <c r="A245" s="222"/>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88"/>
    </row>
    <row r="246">
      <c r="A246" s="222"/>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88"/>
    </row>
    <row r="247">
      <c r="A247" s="222"/>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88"/>
    </row>
    <row r="248">
      <c r="A248" s="222"/>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88"/>
    </row>
    <row r="249">
      <c r="A249" s="222"/>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88"/>
    </row>
    <row r="250">
      <c r="A250" s="222"/>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88"/>
    </row>
    <row r="251">
      <c r="A251" s="222"/>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88"/>
    </row>
    <row r="252">
      <c r="A252" s="222"/>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88"/>
    </row>
    <row r="253">
      <c r="A253" s="222"/>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88"/>
    </row>
    <row r="254">
      <c r="A254" s="222"/>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88"/>
    </row>
    <row r="255">
      <c r="A255" s="222"/>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88"/>
    </row>
    <row r="256">
      <c r="A256" s="222"/>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88"/>
    </row>
    <row r="257">
      <c r="A257" s="222"/>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88"/>
    </row>
    <row r="258">
      <c r="A258" s="222"/>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88"/>
    </row>
    <row r="259">
      <c r="A259" s="222"/>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88"/>
    </row>
    <row r="260">
      <c r="A260" s="222"/>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88"/>
    </row>
    <row r="261">
      <c r="A261" s="222"/>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88"/>
    </row>
    <row r="262">
      <c r="A262" s="222"/>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88"/>
    </row>
    <row r="263">
      <c r="A263" s="222"/>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88"/>
    </row>
    <row r="264">
      <c r="A264" s="222"/>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88"/>
    </row>
    <row r="265">
      <c r="A265" s="222"/>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88"/>
    </row>
    <row r="266">
      <c r="A266" s="222"/>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88"/>
    </row>
    <row r="267">
      <c r="A267" s="222"/>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88"/>
    </row>
    <row r="268">
      <c r="A268" s="222"/>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88"/>
    </row>
    <row r="269">
      <c r="A269" s="222"/>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88"/>
    </row>
    <row r="270">
      <c r="A270" s="222"/>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88"/>
    </row>
    <row r="271">
      <c r="A271" s="222"/>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88"/>
    </row>
    <row r="272">
      <c r="A272" s="222"/>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88"/>
    </row>
    <row r="273">
      <c r="A273" s="222"/>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88"/>
    </row>
    <row r="274">
      <c r="A274" s="222"/>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88"/>
    </row>
    <row r="275">
      <c r="A275" s="222"/>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88"/>
    </row>
    <row r="276">
      <c r="A276" s="222"/>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88"/>
    </row>
    <row r="277">
      <c r="A277" s="222"/>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88"/>
    </row>
    <row r="278">
      <c r="A278" s="222"/>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88"/>
    </row>
    <row r="279">
      <c r="A279" s="222"/>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88"/>
    </row>
    <row r="280">
      <c r="A280" s="222"/>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88"/>
    </row>
    <row r="281">
      <c r="A281" s="222"/>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88"/>
    </row>
    <row r="282">
      <c r="A282" s="222"/>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88"/>
    </row>
    <row r="283">
      <c r="A283" s="222"/>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88"/>
    </row>
    <row r="284">
      <c r="A284" s="222"/>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88"/>
    </row>
    <row r="285">
      <c r="A285" s="222"/>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88"/>
    </row>
    <row r="286">
      <c r="A286" s="222"/>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88"/>
    </row>
    <row r="287">
      <c r="A287" s="222"/>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88"/>
    </row>
    <row r="288">
      <c r="A288" s="222"/>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88"/>
    </row>
    <row r="289">
      <c r="A289" s="222"/>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88"/>
    </row>
    <row r="290">
      <c r="A290" s="222"/>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88"/>
    </row>
    <row r="291">
      <c r="A291" s="222"/>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88"/>
    </row>
    <row r="292">
      <c r="A292" s="222"/>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88"/>
    </row>
    <row r="293">
      <c r="A293" s="222"/>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88"/>
    </row>
    <row r="294">
      <c r="A294" s="222"/>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88"/>
    </row>
    <row r="295">
      <c r="A295" s="222"/>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88"/>
    </row>
    <row r="296">
      <c r="A296" s="222"/>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88"/>
    </row>
    <row r="297">
      <c r="A297" s="222"/>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88"/>
    </row>
    <row r="298">
      <c r="A298" s="222"/>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88"/>
    </row>
    <row r="299">
      <c r="A299" s="222"/>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88"/>
    </row>
    <row r="300">
      <c r="A300" s="222"/>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88"/>
    </row>
    <row r="301">
      <c r="A301" s="222"/>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88"/>
    </row>
    <row r="302">
      <c r="A302" s="222"/>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88"/>
    </row>
    <row r="303">
      <c r="A303" s="222"/>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88"/>
    </row>
    <row r="304">
      <c r="A304" s="222"/>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88"/>
    </row>
    <row r="305">
      <c r="A305" s="222"/>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88"/>
    </row>
    <row r="306">
      <c r="A306" s="222"/>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88"/>
    </row>
    <row r="307">
      <c r="A307" s="222"/>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88"/>
    </row>
    <row r="308">
      <c r="A308" s="222"/>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88"/>
    </row>
    <row r="309">
      <c r="A309" s="222"/>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88"/>
    </row>
    <row r="310">
      <c r="A310" s="222"/>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88"/>
    </row>
    <row r="311">
      <c r="A311" s="222"/>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88"/>
    </row>
    <row r="312">
      <c r="A312" s="222"/>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88"/>
    </row>
    <row r="313">
      <c r="A313" s="222"/>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88"/>
    </row>
    <row r="314">
      <c r="A314" s="222"/>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88"/>
    </row>
    <row r="315">
      <c r="A315" s="222"/>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88"/>
    </row>
    <row r="316">
      <c r="A316" s="222"/>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88"/>
    </row>
    <row r="317">
      <c r="A317" s="222"/>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88"/>
    </row>
    <row r="318">
      <c r="A318" s="222"/>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88"/>
    </row>
    <row r="319">
      <c r="A319" s="222"/>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88"/>
    </row>
    <row r="320">
      <c r="A320" s="222"/>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88"/>
    </row>
    <row r="321">
      <c r="A321" s="222"/>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88"/>
    </row>
    <row r="322">
      <c r="A322" s="222"/>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88"/>
    </row>
    <row r="323">
      <c r="A323" s="222"/>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88"/>
    </row>
    <row r="324">
      <c r="A324" s="222"/>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88"/>
    </row>
    <row r="325">
      <c r="A325" s="222"/>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88"/>
    </row>
    <row r="326">
      <c r="A326" s="222"/>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88"/>
    </row>
    <row r="327">
      <c r="A327" s="222"/>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88"/>
    </row>
    <row r="328">
      <c r="A328" s="222"/>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88"/>
    </row>
    <row r="329">
      <c r="A329" s="222"/>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88"/>
    </row>
    <row r="330">
      <c r="A330" s="222"/>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88"/>
    </row>
    <row r="331">
      <c r="A331" s="222"/>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88"/>
    </row>
    <row r="332">
      <c r="A332" s="222"/>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88"/>
    </row>
    <row r="333">
      <c r="A333" s="222"/>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88"/>
    </row>
    <row r="334">
      <c r="A334" s="222"/>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88"/>
    </row>
    <row r="335">
      <c r="A335" s="222"/>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88"/>
    </row>
    <row r="336">
      <c r="A336" s="222"/>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88"/>
    </row>
    <row r="337">
      <c r="A337" s="222"/>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88"/>
    </row>
    <row r="338">
      <c r="A338" s="222"/>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88"/>
    </row>
    <row r="339">
      <c r="A339" s="222"/>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88"/>
    </row>
    <row r="340">
      <c r="A340" s="222"/>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88"/>
    </row>
    <row r="341">
      <c r="A341" s="222"/>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88"/>
    </row>
    <row r="342">
      <c r="A342" s="222"/>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88"/>
    </row>
    <row r="343">
      <c r="A343" s="222"/>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88"/>
    </row>
    <row r="344">
      <c r="A344" s="222"/>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88"/>
    </row>
    <row r="345">
      <c r="A345" s="222"/>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88"/>
    </row>
    <row r="346">
      <c r="A346" s="222"/>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88"/>
    </row>
    <row r="347">
      <c r="A347" s="222"/>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88"/>
    </row>
    <row r="348">
      <c r="A348" s="222"/>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88"/>
    </row>
    <row r="349">
      <c r="A349" s="222"/>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88"/>
    </row>
    <row r="350">
      <c r="A350" s="222"/>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88"/>
    </row>
    <row r="351">
      <c r="A351" s="222"/>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88"/>
    </row>
    <row r="352">
      <c r="A352" s="222"/>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88"/>
    </row>
    <row r="353">
      <c r="A353" s="222"/>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88"/>
    </row>
    <row r="354">
      <c r="A354" s="222"/>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88"/>
    </row>
    <row r="355">
      <c r="A355" s="222"/>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88"/>
    </row>
    <row r="356">
      <c r="A356" s="222"/>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88"/>
    </row>
    <row r="357">
      <c r="A357" s="222"/>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88"/>
    </row>
    <row r="358">
      <c r="A358" s="222"/>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88"/>
    </row>
    <row r="359">
      <c r="A359" s="222"/>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88"/>
    </row>
    <row r="360">
      <c r="A360" s="222"/>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88"/>
    </row>
    <row r="361">
      <c r="A361" s="222"/>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88"/>
    </row>
    <row r="362">
      <c r="A362" s="222"/>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88"/>
    </row>
    <row r="363">
      <c r="A363" s="222"/>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88"/>
    </row>
    <row r="364">
      <c r="A364" s="222"/>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88"/>
    </row>
    <row r="365">
      <c r="A365" s="222"/>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88"/>
    </row>
    <row r="366">
      <c r="A366" s="222"/>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88"/>
    </row>
    <row r="367">
      <c r="A367" s="222"/>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88"/>
    </row>
    <row r="368">
      <c r="A368" s="222"/>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88"/>
    </row>
    <row r="369">
      <c r="A369" s="222"/>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88"/>
    </row>
    <row r="370">
      <c r="A370" s="222"/>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88"/>
    </row>
    <row r="371">
      <c r="A371" s="222"/>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88"/>
    </row>
    <row r="372">
      <c r="A372" s="222"/>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88"/>
    </row>
    <row r="373">
      <c r="A373" s="222"/>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88"/>
    </row>
    <row r="374">
      <c r="A374" s="222"/>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88"/>
    </row>
    <row r="375">
      <c r="A375" s="222"/>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88"/>
    </row>
    <row r="376">
      <c r="A376" s="222"/>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88"/>
    </row>
    <row r="377">
      <c r="A377" s="222"/>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88"/>
    </row>
    <row r="378">
      <c r="A378" s="222"/>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88"/>
    </row>
    <row r="379">
      <c r="A379" s="222"/>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88"/>
    </row>
    <row r="380">
      <c r="A380" s="222"/>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88"/>
    </row>
    <row r="381">
      <c r="A381" s="222"/>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88"/>
    </row>
    <row r="382">
      <c r="A382" s="222"/>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88"/>
    </row>
    <row r="383">
      <c r="A383" s="222"/>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88"/>
    </row>
    <row r="384">
      <c r="A384" s="222"/>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88"/>
    </row>
    <row r="385">
      <c r="A385" s="222"/>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88"/>
    </row>
    <row r="386">
      <c r="A386" s="222"/>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88"/>
    </row>
    <row r="387">
      <c r="A387" s="222"/>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88"/>
    </row>
    <row r="388">
      <c r="A388" s="222"/>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88"/>
    </row>
    <row r="389">
      <c r="A389" s="222"/>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88"/>
    </row>
    <row r="390">
      <c r="A390" s="222"/>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88"/>
    </row>
    <row r="391">
      <c r="A391" s="222"/>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88"/>
    </row>
    <row r="392">
      <c r="A392" s="222"/>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88"/>
    </row>
    <row r="393">
      <c r="A393" s="222"/>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88"/>
    </row>
    <row r="394">
      <c r="A394" s="222"/>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88"/>
    </row>
    <row r="395">
      <c r="A395" s="222"/>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88"/>
    </row>
    <row r="396">
      <c r="A396" s="222"/>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88"/>
    </row>
    <row r="397">
      <c r="A397" s="222"/>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88"/>
    </row>
    <row r="398">
      <c r="A398" s="222"/>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88"/>
    </row>
    <row r="399">
      <c r="A399" s="222"/>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88"/>
    </row>
    <row r="400">
      <c r="A400" s="222"/>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88"/>
    </row>
    <row r="401">
      <c r="A401" s="222"/>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88"/>
    </row>
    <row r="402">
      <c r="A402" s="222"/>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88"/>
    </row>
    <row r="403">
      <c r="A403" s="222"/>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88"/>
    </row>
    <row r="404">
      <c r="A404" s="222"/>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88"/>
    </row>
    <row r="405">
      <c r="A405" s="222"/>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88"/>
    </row>
    <row r="406">
      <c r="A406" s="222"/>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88"/>
    </row>
    <row r="407">
      <c r="A407" s="222"/>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88"/>
    </row>
    <row r="408">
      <c r="A408" s="222"/>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88"/>
    </row>
    <row r="409">
      <c r="A409" s="222"/>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88"/>
    </row>
    <row r="410">
      <c r="A410" s="222"/>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88"/>
    </row>
    <row r="411">
      <c r="A411" s="222"/>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88"/>
    </row>
    <row r="412">
      <c r="A412" s="222"/>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88"/>
    </row>
    <row r="413">
      <c r="A413" s="222"/>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88"/>
    </row>
    <row r="414">
      <c r="A414" s="222"/>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88"/>
    </row>
    <row r="415">
      <c r="A415" s="222"/>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88"/>
    </row>
    <row r="416">
      <c r="A416" s="222"/>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88"/>
    </row>
    <row r="417">
      <c r="A417" s="222"/>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88"/>
    </row>
    <row r="418">
      <c r="A418" s="222"/>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88"/>
    </row>
    <row r="419">
      <c r="A419" s="222"/>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88"/>
    </row>
    <row r="420">
      <c r="A420" s="222"/>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88"/>
    </row>
    <row r="421">
      <c r="A421" s="222"/>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88"/>
    </row>
    <row r="422">
      <c r="A422" s="222"/>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88"/>
    </row>
    <row r="423">
      <c r="A423" s="222"/>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88"/>
    </row>
    <row r="424">
      <c r="A424" s="222"/>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88"/>
    </row>
    <row r="425">
      <c r="A425" s="222"/>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88"/>
    </row>
    <row r="426">
      <c r="A426" s="222"/>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88"/>
    </row>
    <row r="427">
      <c r="A427" s="222"/>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88"/>
    </row>
    <row r="428">
      <c r="A428" s="222"/>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88"/>
    </row>
    <row r="429">
      <c r="A429" s="222"/>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88"/>
    </row>
    <row r="430">
      <c r="A430" s="222"/>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88"/>
    </row>
    <row r="431">
      <c r="A431" s="222"/>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88"/>
    </row>
    <row r="432">
      <c r="A432" s="222"/>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88"/>
    </row>
    <row r="433">
      <c r="A433" s="222"/>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88"/>
    </row>
    <row r="434">
      <c r="A434" s="222"/>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88"/>
    </row>
    <row r="435">
      <c r="A435" s="222"/>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88"/>
    </row>
    <row r="436">
      <c r="A436" s="222"/>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88"/>
    </row>
    <row r="437">
      <c r="A437" s="222"/>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88"/>
    </row>
    <row r="438">
      <c r="A438" s="222"/>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88"/>
    </row>
    <row r="439">
      <c r="A439" s="222"/>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88"/>
    </row>
    <row r="440">
      <c r="A440" s="222"/>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88"/>
    </row>
    <row r="441">
      <c r="A441" s="222"/>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88"/>
    </row>
    <row r="442">
      <c r="A442" s="222"/>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88"/>
    </row>
    <row r="443">
      <c r="A443" s="222"/>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88"/>
    </row>
    <row r="444">
      <c r="A444" s="222"/>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88"/>
    </row>
    <row r="445">
      <c r="A445" s="222"/>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88"/>
    </row>
    <row r="446">
      <c r="A446" s="222"/>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88"/>
    </row>
    <row r="447">
      <c r="A447" s="222"/>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88"/>
    </row>
    <row r="448">
      <c r="A448" s="222"/>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88"/>
    </row>
    <row r="449">
      <c r="A449" s="222"/>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88"/>
    </row>
    <row r="450">
      <c r="A450" s="222"/>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88"/>
    </row>
    <row r="451">
      <c r="A451" s="222"/>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88"/>
    </row>
    <row r="452">
      <c r="A452" s="222"/>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88"/>
    </row>
    <row r="453">
      <c r="A453" s="222"/>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88"/>
    </row>
    <row r="454">
      <c r="A454" s="222"/>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88"/>
    </row>
    <row r="455">
      <c r="A455" s="222"/>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88"/>
    </row>
    <row r="456">
      <c r="A456" s="222"/>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88"/>
    </row>
    <row r="457">
      <c r="A457" s="222"/>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88"/>
    </row>
    <row r="458">
      <c r="A458" s="222"/>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88"/>
    </row>
    <row r="459">
      <c r="A459" s="222"/>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88"/>
    </row>
    <row r="460">
      <c r="A460" s="222"/>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88"/>
    </row>
    <row r="461">
      <c r="A461" s="222"/>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88"/>
    </row>
    <row r="462">
      <c r="A462" s="222"/>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88"/>
    </row>
    <row r="463">
      <c r="A463" s="222"/>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88"/>
    </row>
    <row r="464">
      <c r="A464" s="222"/>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88"/>
    </row>
    <row r="465">
      <c r="A465" s="222"/>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88"/>
    </row>
    <row r="466">
      <c r="A466" s="222"/>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88"/>
    </row>
    <row r="467">
      <c r="A467" s="222"/>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88"/>
    </row>
    <row r="468">
      <c r="A468" s="222"/>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88"/>
    </row>
    <row r="469">
      <c r="A469" s="222"/>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88"/>
    </row>
    <row r="470">
      <c r="A470" s="222"/>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88"/>
    </row>
    <row r="471">
      <c r="A471" s="222"/>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88"/>
    </row>
    <row r="472">
      <c r="A472" s="222"/>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88"/>
    </row>
    <row r="473">
      <c r="A473" s="222"/>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88"/>
    </row>
    <row r="474">
      <c r="A474" s="222"/>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88"/>
    </row>
    <row r="475">
      <c r="A475" s="222"/>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88"/>
    </row>
    <row r="476">
      <c r="A476" s="222"/>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88"/>
    </row>
    <row r="477">
      <c r="A477" s="222"/>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88"/>
    </row>
    <row r="478">
      <c r="A478" s="222"/>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88"/>
    </row>
    <row r="479">
      <c r="A479" s="222"/>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88"/>
    </row>
    <row r="480">
      <c r="A480" s="222"/>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88"/>
    </row>
    <row r="481">
      <c r="A481" s="222"/>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88"/>
    </row>
    <row r="482">
      <c r="A482" s="222"/>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88"/>
    </row>
    <row r="483">
      <c r="A483" s="222"/>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88"/>
    </row>
    <row r="484">
      <c r="A484" s="222"/>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88"/>
    </row>
    <row r="485">
      <c r="A485" s="222"/>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88"/>
    </row>
    <row r="486">
      <c r="A486" s="222"/>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88"/>
    </row>
    <row r="487">
      <c r="A487" s="222"/>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88"/>
    </row>
    <row r="488">
      <c r="A488" s="222"/>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88"/>
    </row>
    <row r="489">
      <c r="A489" s="222"/>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88"/>
    </row>
    <row r="490">
      <c r="A490" s="222"/>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88"/>
    </row>
    <row r="491">
      <c r="A491" s="222"/>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88"/>
    </row>
    <row r="492">
      <c r="A492" s="222"/>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88"/>
    </row>
    <row r="493">
      <c r="A493" s="222"/>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88"/>
    </row>
    <row r="494">
      <c r="A494" s="222"/>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88"/>
    </row>
    <row r="495">
      <c r="A495" s="222"/>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88"/>
    </row>
    <row r="496">
      <c r="A496" s="222"/>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88"/>
    </row>
    <row r="497">
      <c r="A497" s="222"/>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88"/>
    </row>
    <row r="498">
      <c r="A498" s="222"/>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88"/>
    </row>
    <row r="499">
      <c r="A499" s="222"/>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88"/>
    </row>
    <row r="500">
      <c r="A500" s="222"/>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88"/>
    </row>
    <row r="501">
      <c r="A501" s="222"/>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88"/>
    </row>
    <row r="502">
      <c r="A502" s="222"/>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88"/>
    </row>
    <row r="503">
      <c r="A503" s="222"/>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88"/>
    </row>
    <row r="504">
      <c r="A504" s="222"/>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88"/>
    </row>
    <row r="505">
      <c r="A505" s="222"/>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88"/>
    </row>
    <row r="506">
      <c r="A506" s="222"/>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88"/>
    </row>
    <row r="507">
      <c r="A507" s="222"/>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88"/>
    </row>
    <row r="508">
      <c r="A508" s="222"/>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88"/>
    </row>
    <row r="509">
      <c r="A509" s="222"/>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88"/>
    </row>
    <row r="510">
      <c r="A510" s="222"/>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88"/>
    </row>
    <row r="511">
      <c r="A511" s="222"/>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88"/>
    </row>
    <row r="512">
      <c r="A512" s="222"/>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88"/>
    </row>
    <row r="513">
      <c r="A513" s="222"/>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88"/>
    </row>
    <row r="514">
      <c r="A514" s="222"/>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88"/>
    </row>
    <row r="515">
      <c r="A515" s="222"/>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88"/>
    </row>
    <row r="516">
      <c r="A516" s="222"/>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88"/>
    </row>
    <row r="517">
      <c r="A517" s="222"/>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88"/>
    </row>
    <row r="518">
      <c r="A518" s="222"/>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88"/>
    </row>
    <row r="519">
      <c r="A519" s="222"/>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88"/>
    </row>
    <row r="520">
      <c r="A520" s="222"/>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88"/>
    </row>
    <row r="521">
      <c r="A521" s="222"/>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88"/>
    </row>
    <row r="522">
      <c r="A522" s="222"/>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88"/>
    </row>
    <row r="523">
      <c r="A523" s="222"/>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88"/>
    </row>
    <row r="524">
      <c r="A524" s="222"/>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88"/>
    </row>
    <row r="525">
      <c r="A525" s="222"/>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88"/>
    </row>
    <row r="526">
      <c r="A526" s="222"/>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88"/>
    </row>
    <row r="527">
      <c r="A527" s="222"/>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88"/>
    </row>
    <row r="528">
      <c r="A528" s="222"/>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88"/>
    </row>
    <row r="529">
      <c r="A529" s="222"/>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88"/>
    </row>
    <row r="530">
      <c r="A530" s="222"/>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88"/>
    </row>
    <row r="531">
      <c r="A531" s="222"/>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88"/>
    </row>
    <row r="532">
      <c r="A532" s="222"/>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88"/>
    </row>
    <row r="533">
      <c r="A533" s="222"/>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88"/>
    </row>
    <row r="534">
      <c r="A534" s="222"/>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88"/>
    </row>
    <row r="535">
      <c r="A535" s="222"/>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88"/>
    </row>
    <row r="536">
      <c r="A536" s="222"/>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88"/>
    </row>
    <row r="537">
      <c r="A537" s="222"/>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88"/>
    </row>
    <row r="538">
      <c r="A538" s="222"/>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88"/>
    </row>
    <row r="539">
      <c r="A539" s="222"/>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88"/>
    </row>
    <row r="540">
      <c r="A540" s="222"/>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88"/>
    </row>
    <row r="541">
      <c r="A541" s="222"/>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88"/>
    </row>
    <row r="542">
      <c r="A542" s="222"/>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88"/>
    </row>
    <row r="543">
      <c r="A543" s="222"/>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88"/>
    </row>
    <row r="544">
      <c r="A544" s="222"/>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88"/>
    </row>
    <row r="545">
      <c r="A545" s="222"/>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88"/>
    </row>
    <row r="546">
      <c r="A546" s="222"/>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88"/>
    </row>
    <row r="547">
      <c r="A547" s="222"/>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88"/>
    </row>
    <row r="548">
      <c r="A548" s="222"/>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88"/>
    </row>
    <row r="549">
      <c r="A549" s="222"/>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88"/>
    </row>
    <row r="550">
      <c r="A550" s="222"/>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88"/>
    </row>
    <row r="551">
      <c r="A551" s="222"/>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88"/>
    </row>
    <row r="552">
      <c r="A552" s="222"/>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88"/>
    </row>
    <row r="553">
      <c r="A553" s="222"/>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88"/>
    </row>
    <row r="554">
      <c r="A554" s="222"/>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88"/>
    </row>
    <row r="555">
      <c r="A555" s="222"/>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88"/>
    </row>
    <row r="556">
      <c r="A556" s="222"/>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88"/>
    </row>
    <row r="557">
      <c r="A557" s="222"/>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88"/>
    </row>
    <row r="558">
      <c r="A558" s="222"/>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88"/>
    </row>
    <row r="559">
      <c r="A559" s="222"/>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88"/>
    </row>
    <row r="560">
      <c r="A560" s="222"/>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88"/>
    </row>
    <row r="561">
      <c r="A561" s="222"/>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88"/>
    </row>
    <row r="562">
      <c r="A562" s="222"/>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88"/>
    </row>
    <row r="563">
      <c r="A563" s="222"/>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88"/>
    </row>
    <row r="564">
      <c r="A564" s="222"/>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88"/>
    </row>
    <row r="565">
      <c r="A565" s="222"/>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88"/>
    </row>
    <row r="566">
      <c r="A566" s="222"/>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88"/>
    </row>
    <row r="567">
      <c r="A567" s="222"/>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88"/>
    </row>
    <row r="568">
      <c r="A568" s="222"/>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88"/>
    </row>
    <row r="569">
      <c r="A569" s="222"/>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88"/>
    </row>
    <row r="570">
      <c r="A570" s="222"/>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88"/>
    </row>
    <row r="571">
      <c r="A571" s="222"/>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88"/>
    </row>
    <row r="572">
      <c r="A572" s="222"/>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88"/>
    </row>
    <row r="573">
      <c r="A573" s="222"/>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88"/>
    </row>
    <row r="574">
      <c r="A574" s="222"/>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88"/>
    </row>
    <row r="575">
      <c r="A575" s="222"/>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88"/>
    </row>
    <row r="576">
      <c r="A576" s="222"/>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88"/>
    </row>
    <row r="577">
      <c r="A577" s="222"/>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88"/>
    </row>
    <row r="578">
      <c r="A578" s="222"/>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88"/>
    </row>
    <row r="579">
      <c r="A579" s="222"/>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88"/>
    </row>
    <row r="580">
      <c r="A580" s="222"/>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88"/>
    </row>
    <row r="581">
      <c r="A581" s="222"/>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88"/>
    </row>
    <row r="582">
      <c r="A582" s="222"/>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88"/>
    </row>
    <row r="583">
      <c r="A583" s="222"/>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88"/>
    </row>
    <row r="584">
      <c r="A584" s="222"/>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88"/>
    </row>
    <row r="585">
      <c r="A585" s="222"/>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88"/>
    </row>
    <row r="586">
      <c r="A586" s="222"/>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88"/>
    </row>
    <row r="587">
      <c r="A587" s="222"/>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88"/>
    </row>
    <row r="588">
      <c r="A588" s="222"/>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88"/>
    </row>
    <row r="589">
      <c r="A589" s="222"/>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88"/>
    </row>
    <row r="590">
      <c r="A590" s="222"/>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88"/>
    </row>
    <row r="591">
      <c r="A591" s="222"/>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88"/>
    </row>
    <row r="592">
      <c r="A592" s="222"/>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88"/>
    </row>
    <row r="593">
      <c r="A593" s="222"/>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88"/>
    </row>
    <row r="594">
      <c r="A594" s="222"/>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88"/>
    </row>
    <row r="595">
      <c r="A595" s="222"/>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88"/>
    </row>
    <row r="596">
      <c r="A596" s="222"/>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88"/>
    </row>
    <row r="597">
      <c r="A597" s="222"/>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88"/>
    </row>
    <row r="598">
      <c r="A598" s="222"/>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88"/>
    </row>
    <row r="599">
      <c r="A599" s="222"/>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88"/>
    </row>
    <row r="600">
      <c r="A600" s="222"/>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88"/>
    </row>
    <row r="601">
      <c r="A601" s="222"/>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88"/>
    </row>
    <row r="602">
      <c r="A602" s="222"/>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88"/>
    </row>
    <row r="603">
      <c r="A603" s="222"/>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88"/>
    </row>
    <row r="604">
      <c r="A604" s="222"/>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88"/>
    </row>
    <row r="605">
      <c r="A605" s="222"/>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88"/>
    </row>
    <row r="606">
      <c r="A606" s="222"/>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88"/>
    </row>
    <row r="607">
      <c r="A607" s="222"/>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88"/>
    </row>
    <row r="608">
      <c r="A608" s="222"/>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88"/>
    </row>
    <row r="609">
      <c r="A609" s="222"/>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88"/>
    </row>
    <row r="610">
      <c r="A610" s="222"/>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88"/>
    </row>
    <row r="611">
      <c r="A611" s="222"/>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88"/>
    </row>
    <row r="612">
      <c r="A612" s="222"/>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88"/>
    </row>
    <row r="613">
      <c r="A613" s="222"/>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88"/>
    </row>
    <row r="614">
      <c r="A614" s="222"/>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88"/>
    </row>
    <row r="615">
      <c r="A615" s="222"/>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88"/>
    </row>
    <row r="616">
      <c r="A616" s="222"/>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88"/>
    </row>
    <row r="617">
      <c r="A617" s="222"/>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88"/>
    </row>
    <row r="618">
      <c r="A618" s="222"/>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88"/>
    </row>
    <row r="619">
      <c r="A619" s="222"/>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88"/>
    </row>
    <row r="620">
      <c r="A620" s="222"/>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88"/>
    </row>
    <row r="621">
      <c r="A621" s="222"/>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88"/>
    </row>
    <row r="622">
      <c r="A622" s="222"/>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88"/>
    </row>
    <row r="623">
      <c r="A623" s="222"/>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88"/>
    </row>
    <row r="624">
      <c r="A624" s="222"/>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88"/>
    </row>
    <row r="625">
      <c r="A625" s="222"/>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88"/>
    </row>
    <row r="626">
      <c r="A626" s="222"/>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88"/>
    </row>
    <row r="627">
      <c r="A627" s="222"/>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88"/>
    </row>
    <row r="628">
      <c r="A628" s="222"/>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88"/>
    </row>
    <row r="629">
      <c r="A629" s="222"/>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88"/>
    </row>
    <row r="630">
      <c r="A630" s="222"/>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88"/>
    </row>
    <row r="631">
      <c r="A631" s="222"/>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88"/>
    </row>
    <row r="632">
      <c r="A632" s="222"/>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88"/>
    </row>
    <row r="633">
      <c r="A633" s="222"/>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88"/>
    </row>
    <row r="634">
      <c r="A634" s="222"/>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88"/>
    </row>
    <row r="635">
      <c r="A635" s="222"/>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88"/>
    </row>
    <row r="636">
      <c r="A636" s="222"/>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88"/>
    </row>
    <row r="637">
      <c r="A637" s="222"/>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88"/>
    </row>
    <row r="638">
      <c r="A638" s="222"/>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88"/>
    </row>
    <row r="639">
      <c r="A639" s="222"/>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88"/>
    </row>
    <row r="640">
      <c r="A640" s="222"/>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88"/>
    </row>
    <row r="641">
      <c r="A641" s="222"/>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88"/>
    </row>
    <row r="642">
      <c r="A642" s="222"/>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88"/>
    </row>
    <row r="643">
      <c r="A643" s="222"/>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88"/>
    </row>
    <row r="644">
      <c r="A644" s="222"/>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88"/>
    </row>
    <row r="645">
      <c r="A645" s="222"/>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88"/>
    </row>
    <row r="646">
      <c r="A646" s="222"/>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88"/>
    </row>
    <row r="647">
      <c r="A647" s="222"/>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88"/>
    </row>
    <row r="648">
      <c r="A648" s="222"/>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88"/>
    </row>
    <row r="649">
      <c r="A649" s="222"/>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88"/>
    </row>
    <row r="650">
      <c r="A650" s="222"/>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88"/>
    </row>
    <row r="651">
      <c r="A651" s="222"/>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88"/>
    </row>
    <row r="652">
      <c r="A652" s="222"/>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88"/>
    </row>
    <row r="653">
      <c r="A653" s="222"/>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88"/>
    </row>
    <row r="654">
      <c r="A654" s="222"/>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88"/>
    </row>
    <row r="655">
      <c r="A655" s="222"/>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88"/>
    </row>
    <row r="656">
      <c r="A656" s="222"/>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88"/>
    </row>
    <row r="657">
      <c r="A657" s="222"/>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88"/>
    </row>
    <row r="658">
      <c r="A658" s="222"/>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88"/>
    </row>
    <row r="659">
      <c r="A659" s="222"/>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88"/>
    </row>
    <row r="660">
      <c r="A660" s="222"/>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88"/>
    </row>
    <row r="661">
      <c r="A661" s="222"/>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88"/>
    </row>
    <row r="662">
      <c r="A662" s="222"/>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88"/>
    </row>
    <row r="663">
      <c r="A663" s="222"/>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88"/>
    </row>
    <row r="664">
      <c r="A664" s="222"/>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88"/>
    </row>
    <row r="665">
      <c r="A665" s="222"/>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88"/>
    </row>
    <row r="666">
      <c r="A666" s="222"/>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88"/>
    </row>
    <row r="667">
      <c r="A667" s="222"/>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88"/>
    </row>
    <row r="668">
      <c r="A668" s="222"/>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88"/>
    </row>
    <row r="669">
      <c r="A669" s="222"/>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88"/>
    </row>
    <row r="670">
      <c r="A670" s="222"/>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88"/>
    </row>
    <row r="671">
      <c r="A671" s="222"/>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88"/>
    </row>
    <row r="672">
      <c r="A672" s="222"/>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88"/>
    </row>
    <row r="673">
      <c r="A673" s="222"/>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88"/>
    </row>
    <row r="674">
      <c r="A674" s="222"/>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88"/>
    </row>
    <row r="675">
      <c r="A675" s="222"/>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88"/>
    </row>
    <row r="676">
      <c r="A676" s="222"/>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88"/>
    </row>
    <row r="677">
      <c r="A677" s="222"/>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88"/>
    </row>
    <row r="678">
      <c r="A678" s="222"/>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88"/>
    </row>
    <row r="679">
      <c r="A679" s="222"/>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88"/>
    </row>
    <row r="680">
      <c r="A680" s="222"/>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88"/>
    </row>
    <row r="681">
      <c r="A681" s="222"/>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88"/>
    </row>
    <row r="682">
      <c r="A682" s="222"/>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88"/>
    </row>
    <row r="683">
      <c r="A683" s="222"/>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88"/>
    </row>
    <row r="684">
      <c r="A684" s="222"/>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88"/>
    </row>
    <row r="685">
      <c r="A685" s="222"/>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88"/>
    </row>
    <row r="686">
      <c r="A686" s="222"/>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88"/>
    </row>
    <row r="687">
      <c r="A687" s="222"/>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88"/>
    </row>
    <row r="688">
      <c r="A688" s="222"/>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88"/>
    </row>
    <row r="689">
      <c r="A689" s="222"/>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88"/>
    </row>
    <row r="690">
      <c r="A690" s="222"/>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88"/>
    </row>
    <row r="691">
      <c r="A691" s="222"/>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88"/>
    </row>
    <row r="692">
      <c r="A692" s="222"/>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88"/>
    </row>
    <row r="693">
      <c r="A693" s="222"/>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88"/>
    </row>
    <row r="694">
      <c r="A694" s="222"/>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88"/>
    </row>
    <row r="695">
      <c r="A695" s="222"/>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88"/>
    </row>
    <row r="696">
      <c r="A696" s="222"/>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88"/>
    </row>
    <row r="697">
      <c r="A697" s="222"/>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88"/>
    </row>
    <row r="698">
      <c r="A698" s="222"/>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88"/>
    </row>
    <row r="699">
      <c r="A699" s="222"/>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88"/>
    </row>
    <row r="700">
      <c r="A700" s="222"/>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88"/>
    </row>
    <row r="701">
      <c r="A701" s="222"/>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88"/>
    </row>
    <row r="702">
      <c r="A702" s="222"/>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88"/>
    </row>
    <row r="703">
      <c r="A703" s="222"/>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88"/>
    </row>
    <row r="704">
      <c r="A704" s="222"/>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88"/>
    </row>
    <row r="705">
      <c r="A705" s="222"/>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88"/>
    </row>
    <row r="706">
      <c r="A706" s="222"/>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88"/>
    </row>
    <row r="707">
      <c r="A707" s="222"/>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88"/>
    </row>
    <row r="708">
      <c r="A708" s="222"/>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88"/>
    </row>
    <row r="709">
      <c r="A709" s="222"/>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88"/>
    </row>
    <row r="710">
      <c r="A710" s="222"/>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88"/>
    </row>
    <row r="711">
      <c r="A711" s="222"/>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88"/>
    </row>
    <row r="712">
      <c r="A712" s="222"/>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88"/>
    </row>
    <row r="713">
      <c r="A713" s="222"/>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88"/>
    </row>
    <row r="714">
      <c r="A714" s="222"/>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88"/>
    </row>
    <row r="715">
      <c r="A715" s="222"/>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88"/>
    </row>
    <row r="716">
      <c r="A716" s="222"/>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88"/>
    </row>
    <row r="717">
      <c r="A717" s="222"/>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88"/>
    </row>
    <row r="718">
      <c r="A718" s="222"/>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88"/>
    </row>
    <row r="719">
      <c r="A719" s="222"/>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88"/>
    </row>
    <row r="720">
      <c r="A720" s="222"/>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88"/>
    </row>
    <row r="721">
      <c r="A721" s="222"/>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88"/>
    </row>
    <row r="722">
      <c r="A722" s="222"/>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88"/>
    </row>
    <row r="723">
      <c r="A723" s="222"/>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88"/>
    </row>
    <row r="724">
      <c r="A724" s="222"/>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88"/>
    </row>
    <row r="725">
      <c r="A725" s="222"/>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88"/>
    </row>
    <row r="726">
      <c r="A726" s="222"/>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88"/>
    </row>
    <row r="727">
      <c r="A727" s="222"/>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88"/>
    </row>
    <row r="728">
      <c r="A728" s="222"/>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88"/>
    </row>
    <row r="729">
      <c r="A729" s="222"/>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88"/>
    </row>
    <row r="730">
      <c r="A730" s="222"/>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88"/>
    </row>
    <row r="731">
      <c r="A731" s="222"/>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88"/>
    </row>
    <row r="732">
      <c r="A732" s="222"/>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88"/>
    </row>
    <row r="733">
      <c r="A733" s="222"/>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88"/>
    </row>
    <row r="734">
      <c r="A734" s="222"/>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88"/>
    </row>
    <row r="735">
      <c r="A735" s="222"/>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88"/>
    </row>
    <row r="736">
      <c r="A736" s="222"/>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88"/>
    </row>
    <row r="737">
      <c r="A737" s="222"/>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88"/>
    </row>
    <row r="738">
      <c r="A738" s="222"/>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88"/>
    </row>
    <row r="739">
      <c r="A739" s="222"/>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88"/>
    </row>
    <row r="740">
      <c r="A740" s="222"/>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88"/>
    </row>
    <row r="741">
      <c r="A741" s="222"/>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88"/>
    </row>
    <row r="742">
      <c r="A742" s="222"/>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88"/>
    </row>
    <row r="743">
      <c r="A743" s="222"/>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88"/>
    </row>
    <row r="744">
      <c r="A744" s="222"/>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88"/>
    </row>
    <row r="745">
      <c r="A745" s="222"/>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88"/>
    </row>
    <row r="746">
      <c r="A746" s="222"/>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88"/>
    </row>
    <row r="747">
      <c r="A747" s="222"/>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88"/>
    </row>
    <row r="748">
      <c r="A748" s="222"/>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88"/>
    </row>
    <row r="749">
      <c r="A749" s="222"/>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88"/>
    </row>
    <row r="750">
      <c r="A750" s="222"/>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88"/>
    </row>
    <row r="751">
      <c r="A751" s="222"/>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88"/>
    </row>
    <row r="752">
      <c r="A752" s="222"/>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88"/>
    </row>
    <row r="753">
      <c r="A753" s="222"/>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88"/>
    </row>
    <row r="754">
      <c r="A754" s="222"/>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88"/>
    </row>
    <row r="755">
      <c r="A755" s="222"/>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88"/>
    </row>
    <row r="756">
      <c r="A756" s="222"/>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88"/>
    </row>
    <row r="757">
      <c r="A757" s="222"/>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88"/>
    </row>
    <row r="758">
      <c r="A758" s="222"/>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88"/>
    </row>
    <row r="759">
      <c r="A759" s="222"/>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88"/>
    </row>
    <row r="760">
      <c r="A760" s="222"/>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88"/>
    </row>
    <row r="761">
      <c r="A761" s="222"/>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88"/>
    </row>
    <row r="762">
      <c r="A762" s="222"/>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88"/>
    </row>
    <row r="763">
      <c r="A763" s="222"/>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88"/>
    </row>
    <row r="764">
      <c r="A764" s="222"/>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88"/>
    </row>
    <row r="765">
      <c r="A765" s="222"/>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88"/>
    </row>
    <row r="766">
      <c r="A766" s="222"/>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88"/>
    </row>
    <row r="767">
      <c r="A767" s="222"/>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88"/>
    </row>
    <row r="768">
      <c r="A768" s="222"/>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88"/>
    </row>
    <row r="769">
      <c r="A769" s="222"/>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88"/>
    </row>
    <row r="770">
      <c r="A770" s="222"/>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88"/>
    </row>
    <row r="771">
      <c r="A771" s="222"/>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88"/>
    </row>
    <row r="772">
      <c r="A772" s="222"/>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88"/>
    </row>
    <row r="773">
      <c r="A773" s="222"/>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88"/>
    </row>
    <row r="774">
      <c r="A774" s="222"/>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88"/>
    </row>
    <row r="775">
      <c r="A775" s="222"/>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88"/>
    </row>
    <row r="776">
      <c r="A776" s="222"/>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88"/>
    </row>
    <row r="777">
      <c r="A777" s="222"/>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88"/>
    </row>
    <row r="778">
      <c r="A778" s="222"/>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88"/>
    </row>
    <row r="779">
      <c r="A779" s="222"/>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88"/>
    </row>
    <row r="780">
      <c r="A780" s="222"/>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88"/>
    </row>
    <row r="781">
      <c r="A781" s="222"/>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88"/>
    </row>
    <row r="782">
      <c r="A782" s="222"/>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88"/>
    </row>
    <row r="783">
      <c r="A783" s="222"/>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88"/>
    </row>
    <row r="784">
      <c r="A784" s="222"/>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88"/>
    </row>
    <row r="785">
      <c r="A785" s="222"/>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88"/>
    </row>
    <row r="786">
      <c r="A786" s="222"/>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88"/>
    </row>
    <row r="787">
      <c r="A787" s="222"/>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88"/>
    </row>
    <row r="788">
      <c r="A788" s="222"/>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88"/>
    </row>
    <row r="789">
      <c r="A789" s="222"/>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88"/>
    </row>
    <row r="790">
      <c r="A790" s="222"/>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88"/>
    </row>
    <row r="791">
      <c r="A791" s="222"/>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88"/>
    </row>
    <row r="792">
      <c r="A792" s="222"/>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88"/>
    </row>
    <row r="793">
      <c r="A793" s="222"/>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88"/>
    </row>
    <row r="794">
      <c r="A794" s="222"/>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88"/>
    </row>
    <row r="795">
      <c r="A795" s="222"/>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88"/>
    </row>
    <row r="796">
      <c r="A796" s="222"/>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88"/>
    </row>
    <row r="797">
      <c r="A797" s="222"/>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88"/>
    </row>
    <row r="798">
      <c r="A798" s="222"/>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88"/>
    </row>
    <row r="799">
      <c r="A799" s="222"/>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88"/>
    </row>
    <row r="800">
      <c r="A800" s="222"/>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88"/>
    </row>
    <row r="801">
      <c r="A801" s="222"/>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88"/>
    </row>
    <row r="802">
      <c r="A802" s="222"/>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88"/>
    </row>
    <row r="803">
      <c r="A803" s="222"/>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88"/>
    </row>
    <row r="804">
      <c r="A804" s="222"/>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88"/>
    </row>
    <row r="805">
      <c r="A805" s="222"/>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88"/>
    </row>
    <row r="806">
      <c r="A806" s="222"/>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88"/>
    </row>
    <row r="807">
      <c r="A807" s="222"/>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88"/>
    </row>
    <row r="808">
      <c r="A808" s="222"/>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88"/>
    </row>
    <row r="809">
      <c r="A809" s="222"/>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88"/>
    </row>
    <row r="810">
      <c r="A810" s="222"/>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88"/>
    </row>
    <row r="811">
      <c r="A811" s="222"/>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88"/>
    </row>
    <row r="812">
      <c r="A812" s="222"/>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88"/>
    </row>
    <row r="813">
      <c r="A813" s="222"/>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88"/>
    </row>
    <row r="814">
      <c r="A814" s="222"/>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88"/>
    </row>
    <row r="815">
      <c r="A815" s="222"/>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88"/>
    </row>
    <row r="816">
      <c r="A816" s="222"/>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88"/>
    </row>
    <row r="817">
      <c r="A817" s="222"/>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88"/>
    </row>
    <row r="818">
      <c r="A818" s="222"/>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88"/>
    </row>
    <row r="819">
      <c r="A819" s="222"/>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88"/>
    </row>
    <row r="820">
      <c r="A820" s="222"/>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88"/>
    </row>
    <row r="821">
      <c r="A821" s="222"/>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88"/>
    </row>
    <row r="822">
      <c r="A822" s="222"/>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88"/>
    </row>
    <row r="823">
      <c r="A823" s="222"/>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88"/>
    </row>
    <row r="824">
      <c r="A824" s="222"/>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88"/>
    </row>
    <row r="825">
      <c r="A825" s="222"/>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88"/>
    </row>
    <row r="826">
      <c r="A826" s="222"/>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88"/>
    </row>
    <row r="827">
      <c r="A827" s="222"/>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88"/>
    </row>
    <row r="828">
      <c r="A828" s="222"/>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88"/>
    </row>
    <row r="829">
      <c r="A829" s="222"/>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88"/>
    </row>
    <row r="830">
      <c r="A830" s="222"/>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88"/>
    </row>
    <row r="831">
      <c r="A831" s="222"/>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88"/>
    </row>
    <row r="832">
      <c r="A832" s="222"/>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88"/>
    </row>
    <row r="833">
      <c r="A833" s="222"/>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88"/>
    </row>
    <row r="834">
      <c r="A834" s="222"/>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88"/>
    </row>
    <row r="835">
      <c r="A835" s="222"/>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88"/>
    </row>
    <row r="836">
      <c r="A836" s="222"/>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88"/>
    </row>
    <row r="837">
      <c r="A837" s="222"/>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88"/>
    </row>
    <row r="838">
      <c r="A838" s="222"/>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88"/>
    </row>
    <row r="839">
      <c r="A839" s="222"/>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88"/>
    </row>
    <row r="840">
      <c r="A840" s="222"/>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88"/>
    </row>
    <row r="841">
      <c r="A841" s="222"/>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88"/>
    </row>
    <row r="842">
      <c r="A842" s="222"/>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88"/>
    </row>
    <row r="843">
      <c r="A843" s="222"/>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88"/>
    </row>
    <row r="844">
      <c r="A844" s="222"/>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88"/>
    </row>
    <row r="845">
      <c r="A845" s="222"/>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88"/>
    </row>
    <row r="846">
      <c r="A846" s="222"/>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88"/>
    </row>
    <row r="847">
      <c r="A847" s="222"/>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88"/>
    </row>
    <row r="848">
      <c r="A848" s="222"/>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88"/>
    </row>
    <row r="849">
      <c r="A849" s="222"/>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88"/>
    </row>
    <row r="850">
      <c r="A850" s="222"/>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88"/>
    </row>
    <row r="851">
      <c r="A851" s="222"/>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88"/>
    </row>
    <row r="852">
      <c r="A852" s="222"/>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88"/>
    </row>
    <row r="853">
      <c r="A853" s="222"/>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88"/>
    </row>
    <row r="854">
      <c r="A854" s="222"/>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88"/>
    </row>
    <row r="855">
      <c r="A855" s="222"/>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88"/>
    </row>
    <row r="856">
      <c r="A856" s="222"/>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88"/>
    </row>
    <row r="857">
      <c r="A857" s="222"/>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88"/>
    </row>
    <row r="858">
      <c r="A858" s="222"/>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88"/>
    </row>
    <row r="859">
      <c r="A859" s="222"/>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88"/>
    </row>
    <row r="860">
      <c r="A860" s="222"/>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88"/>
    </row>
    <row r="861">
      <c r="A861" s="222"/>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88"/>
    </row>
    <row r="862">
      <c r="A862" s="222"/>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88"/>
    </row>
    <row r="863">
      <c r="A863" s="222"/>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88"/>
    </row>
    <row r="864">
      <c r="A864" s="222"/>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88"/>
    </row>
    <row r="865">
      <c r="A865" s="222"/>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88"/>
    </row>
    <row r="866">
      <c r="A866" s="222"/>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88"/>
    </row>
    <row r="867">
      <c r="A867" s="222"/>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88"/>
    </row>
    <row r="868">
      <c r="A868" s="222"/>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88"/>
    </row>
    <row r="869">
      <c r="A869" s="222"/>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88"/>
    </row>
    <row r="870">
      <c r="A870" s="222"/>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88"/>
    </row>
    <row r="871">
      <c r="A871" s="222"/>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88"/>
    </row>
    <row r="872">
      <c r="A872" s="222"/>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88"/>
    </row>
    <row r="873">
      <c r="A873" s="222"/>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88"/>
    </row>
    <row r="874">
      <c r="A874" s="222"/>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88"/>
    </row>
    <row r="875">
      <c r="A875" s="222"/>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88"/>
    </row>
    <row r="876">
      <c r="A876" s="222"/>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88"/>
    </row>
    <row r="877">
      <c r="A877" s="222"/>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88"/>
    </row>
    <row r="878">
      <c r="A878" s="222"/>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88"/>
    </row>
    <row r="879">
      <c r="A879" s="222"/>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88"/>
    </row>
    <row r="880">
      <c r="A880" s="222"/>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88"/>
    </row>
    <row r="881">
      <c r="A881" s="222"/>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88"/>
    </row>
    <row r="882">
      <c r="A882" s="222"/>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88"/>
    </row>
    <row r="883">
      <c r="A883" s="222"/>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88"/>
    </row>
    <row r="884">
      <c r="A884" s="222"/>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88"/>
    </row>
    <row r="885">
      <c r="A885" s="222"/>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88"/>
    </row>
    <row r="886">
      <c r="A886" s="222"/>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88"/>
    </row>
    <row r="887">
      <c r="A887" s="222"/>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88"/>
    </row>
    <row r="888">
      <c r="A888" s="222"/>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88"/>
    </row>
    <row r="889">
      <c r="A889" s="222"/>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88"/>
    </row>
    <row r="890">
      <c r="A890" s="222"/>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88"/>
    </row>
    <row r="891">
      <c r="A891" s="222"/>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88"/>
    </row>
    <row r="892">
      <c r="A892" s="222"/>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88"/>
    </row>
    <row r="893">
      <c r="A893" s="222"/>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88"/>
    </row>
    <row r="894">
      <c r="A894" s="222"/>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88"/>
    </row>
    <row r="895">
      <c r="A895" s="222"/>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88"/>
    </row>
    <row r="896">
      <c r="A896" s="222"/>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88"/>
    </row>
    <row r="897">
      <c r="A897" s="222"/>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88"/>
    </row>
    <row r="898">
      <c r="A898" s="222"/>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88"/>
    </row>
    <row r="899">
      <c r="A899" s="222"/>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88"/>
    </row>
    <row r="900">
      <c r="A900" s="222"/>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88"/>
    </row>
    <row r="901">
      <c r="A901" s="222"/>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88"/>
    </row>
    <row r="902">
      <c r="A902" s="222"/>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88"/>
    </row>
    <row r="903">
      <c r="A903" s="222"/>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88"/>
    </row>
    <row r="904">
      <c r="A904" s="222"/>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88"/>
    </row>
    <row r="905">
      <c r="A905" s="222"/>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88"/>
    </row>
    <row r="906">
      <c r="A906" s="222"/>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88"/>
    </row>
    <row r="907">
      <c r="A907" s="222"/>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88"/>
    </row>
    <row r="908">
      <c r="A908" s="222"/>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88"/>
    </row>
    <row r="909">
      <c r="A909" s="222"/>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88"/>
    </row>
    <row r="910">
      <c r="A910" s="222"/>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88"/>
    </row>
    <row r="911">
      <c r="A911" s="222"/>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88"/>
    </row>
    <row r="912">
      <c r="A912" s="222"/>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88"/>
    </row>
    <row r="913">
      <c r="A913" s="222"/>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88"/>
    </row>
    <row r="914">
      <c r="A914" s="222"/>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88"/>
    </row>
    <row r="915">
      <c r="A915" s="222"/>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88"/>
    </row>
    <row r="916">
      <c r="A916" s="222"/>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88"/>
    </row>
    <row r="917">
      <c r="A917" s="222"/>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88"/>
    </row>
    <row r="918">
      <c r="A918" s="222"/>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88"/>
    </row>
    <row r="919">
      <c r="A919" s="222"/>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88"/>
    </row>
    <row r="920">
      <c r="A920" s="222"/>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88"/>
    </row>
    <row r="921">
      <c r="A921" s="222"/>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88"/>
    </row>
    <row r="922">
      <c r="A922" s="222"/>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88"/>
    </row>
    <row r="923">
      <c r="A923" s="222"/>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88"/>
    </row>
    <row r="924">
      <c r="A924" s="222"/>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88"/>
    </row>
    <row r="925">
      <c r="A925" s="222"/>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88"/>
    </row>
    <row r="926">
      <c r="A926" s="222"/>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88"/>
    </row>
    <row r="927">
      <c r="A927" s="222"/>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88"/>
    </row>
    <row r="928">
      <c r="A928" s="222"/>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88"/>
    </row>
    <row r="929">
      <c r="A929" s="222"/>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88"/>
    </row>
    <row r="930">
      <c r="A930" s="222"/>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88"/>
    </row>
    <row r="931">
      <c r="A931" s="222"/>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88"/>
    </row>
    <row r="932">
      <c r="A932" s="222"/>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88"/>
    </row>
    <row r="933">
      <c r="A933" s="222"/>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88"/>
    </row>
    <row r="934">
      <c r="A934" s="222"/>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88"/>
    </row>
    <row r="935">
      <c r="A935" s="222"/>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88"/>
    </row>
    <row r="936">
      <c r="A936" s="222"/>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88"/>
    </row>
    <row r="937">
      <c r="A937" s="222"/>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88"/>
    </row>
    <row r="938">
      <c r="A938" s="222"/>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88"/>
    </row>
    <row r="939">
      <c r="A939" s="222"/>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88"/>
    </row>
    <row r="940">
      <c r="A940" s="222"/>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88"/>
    </row>
    <row r="941">
      <c r="A941" s="222"/>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88"/>
    </row>
    <row r="942">
      <c r="A942" s="222"/>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88"/>
    </row>
    <row r="943">
      <c r="A943" s="222"/>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88"/>
    </row>
    <row r="944">
      <c r="A944" s="222"/>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88"/>
    </row>
    <row r="945">
      <c r="A945" s="222"/>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88"/>
    </row>
    <row r="946">
      <c r="A946" s="222"/>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88"/>
    </row>
    <row r="947">
      <c r="A947" s="222"/>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88"/>
    </row>
    <row r="948">
      <c r="A948" s="222"/>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88"/>
    </row>
    <row r="949">
      <c r="A949" s="222"/>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88"/>
    </row>
    <row r="950">
      <c r="A950" s="222"/>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88"/>
    </row>
    <row r="951">
      <c r="A951" s="222"/>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88"/>
    </row>
    <row r="952">
      <c r="A952" s="222"/>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88"/>
    </row>
    <row r="953">
      <c r="A953" s="222"/>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88"/>
    </row>
    <row r="954">
      <c r="A954" s="222"/>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88"/>
    </row>
    <row r="955">
      <c r="A955" s="222"/>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88"/>
    </row>
    <row r="956">
      <c r="A956" s="222"/>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88"/>
    </row>
    <row r="957">
      <c r="A957" s="222"/>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88"/>
    </row>
    <row r="958">
      <c r="A958" s="222"/>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88"/>
    </row>
    <row r="959">
      <c r="A959" s="222"/>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88"/>
    </row>
    <row r="960">
      <c r="A960" s="222"/>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88"/>
    </row>
    <row r="961">
      <c r="A961" s="222"/>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88"/>
    </row>
    <row r="962">
      <c r="A962" s="222"/>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88"/>
    </row>
    <row r="963">
      <c r="A963" s="222"/>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88"/>
    </row>
    <row r="964">
      <c r="A964" s="222"/>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88"/>
    </row>
    <row r="965">
      <c r="A965" s="222"/>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88"/>
    </row>
    <row r="966">
      <c r="A966" s="222"/>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88"/>
    </row>
    <row r="967">
      <c r="A967" s="222"/>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88"/>
    </row>
    <row r="968">
      <c r="A968" s="222"/>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88"/>
    </row>
    <row r="969">
      <c r="A969" s="222"/>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88"/>
    </row>
    <row r="970">
      <c r="A970" s="222"/>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88"/>
    </row>
    <row r="971">
      <c r="A971" s="222"/>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88"/>
    </row>
    <row r="972">
      <c r="A972" s="222"/>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88"/>
    </row>
    <row r="973">
      <c r="A973" s="222"/>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88"/>
    </row>
    <row r="974">
      <c r="A974" s="222"/>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88"/>
    </row>
    <row r="975">
      <c r="A975" s="222"/>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88"/>
    </row>
    <row r="976">
      <c r="A976" s="222"/>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88"/>
    </row>
    <row r="977">
      <c r="A977" s="222"/>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88"/>
    </row>
    <row r="978">
      <c r="A978" s="222"/>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88"/>
    </row>
    <row r="979">
      <c r="A979" s="222"/>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88"/>
    </row>
    <row r="980">
      <c r="A980" s="222"/>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88"/>
    </row>
    <row r="981">
      <c r="A981" s="222"/>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88"/>
    </row>
    <row r="982">
      <c r="A982" s="222"/>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88"/>
    </row>
    <row r="983">
      <c r="A983" s="222"/>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88"/>
    </row>
    <row r="984">
      <c r="A984" s="222"/>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88"/>
    </row>
    <row r="985">
      <c r="A985" s="222"/>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88"/>
    </row>
    <row r="986">
      <c r="A986" s="222"/>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88"/>
    </row>
    <row r="987">
      <c r="A987" s="222"/>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88"/>
    </row>
    <row r="988">
      <c r="A988" s="222"/>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88"/>
    </row>
    <row r="989">
      <c r="A989" s="222"/>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88"/>
    </row>
    <row r="990">
      <c r="A990" s="222"/>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88"/>
    </row>
    <row r="991">
      <c r="A991" s="222"/>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88"/>
    </row>
    <row r="992">
      <c r="A992" s="222"/>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88"/>
    </row>
    <row r="993">
      <c r="A993" s="222"/>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88"/>
    </row>
    <row r="994">
      <c r="A994" s="222"/>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88"/>
    </row>
    <row r="995">
      <c r="A995" s="222"/>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88"/>
    </row>
    <row r="996">
      <c r="A996" s="222"/>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88"/>
    </row>
    <row r="997">
      <c r="A997" s="222"/>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88"/>
    </row>
    <row r="998">
      <c r="A998" s="222"/>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88"/>
    </row>
    <row r="999">
      <c r="A999" s="222"/>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88"/>
    </row>
    <row r="1000">
      <c r="A1000" s="225"/>
      <c r="B1000" s="226"/>
      <c r="C1000" s="226"/>
      <c r="D1000" s="226"/>
      <c r="E1000" s="226"/>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7"/>
    </row>
  </sheetData>
  <mergeCells count="18">
    <mergeCell ref="G3:G10"/>
    <mergeCell ref="G11:G18"/>
    <mergeCell ref="G22:G29"/>
    <mergeCell ref="G32:G39"/>
    <mergeCell ref="A11:A18"/>
    <mergeCell ref="A22:A29"/>
    <mergeCell ref="C22:C29"/>
    <mergeCell ref="D22:D29"/>
    <mergeCell ref="A32:A39"/>
    <mergeCell ref="C32:C39"/>
    <mergeCell ref="D32:D39"/>
    <mergeCell ref="A1:J1"/>
    <mergeCell ref="A3:A10"/>
    <mergeCell ref="C3:C10"/>
    <mergeCell ref="D3:D10"/>
    <mergeCell ref="C11:C18"/>
    <mergeCell ref="D11:D18"/>
    <mergeCell ref="A20:J20"/>
  </mergeCells>
  <conditionalFormatting sqref="H3:J18 H22:J29 H32:J39">
    <cfRule type="cellIs" dxfId="7" priority="1" operator="equal">
      <formula>"Closed"</formula>
    </cfRule>
  </conditionalFormatting>
  <conditionalFormatting sqref="H3:J18 H22:J29 H32:J39">
    <cfRule type="cellIs" dxfId="6" priority="2" operator="equal">
      <formula>"Open"</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88"/>
    <col customWidth="1" min="8" max="8" width="31.88"/>
    <col customWidth="1" min="9" max="9" width="16.38"/>
  </cols>
  <sheetData>
    <row r="1">
      <c r="A1" s="39" t="s">
        <v>208</v>
      </c>
      <c r="K1" s="244"/>
      <c r="L1" s="244"/>
      <c r="M1" s="244"/>
      <c r="N1" s="244"/>
      <c r="O1" s="244"/>
      <c r="P1" s="244"/>
      <c r="Q1" s="244"/>
      <c r="R1" s="244"/>
      <c r="S1" s="244"/>
      <c r="T1" s="244"/>
      <c r="U1" s="244"/>
      <c r="V1" s="244"/>
      <c r="W1" s="244"/>
      <c r="X1" s="244"/>
      <c r="Y1" s="244"/>
      <c r="Z1" s="245"/>
    </row>
    <row r="2">
      <c r="A2" s="152" t="s">
        <v>146</v>
      </c>
      <c r="B2" s="179" t="s">
        <v>147</v>
      </c>
      <c r="C2" s="152" t="s">
        <v>148</v>
      </c>
      <c r="D2" s="152" t="s">
        <v>149</v>
      </c>
      <c r="E2" s="179" t="s">
        <v>150</v>
      </c>
      <c r="F2" s="180" t="s">
        <v>112</v>
      </c>
      <c r="G2" s="179" t="s">
        <v>151</v>
      </c>
      <c r="H2" s="179" t="s">
        <v>173</v>
      </c>
      <c r="I2" s="179" t="s">
        <v>113</v>
      </c>
      <c r="J2" s="179" t="s">
        <v>154</v>
      </c>
      <c r="K2" s="246"/>
      <c r="L2" s="246"/>
      <c r="M2" s="246"/>
      <c r="N2" s="246"/>
      <c r="O2" s="246"/>
      <c r="P2" s="246"/>
      <c r="Q2" s="246"/>
      <c r="R2" s="246"/>
      <c r="S2" s="246"/>
      <c r="T2" s="246"/>
      <c r="U2" s="246"/>
      <c r="V2" s="246"/>
      <c r="W2" s="246"/>
      <c r="X2" s="246"/>
      <c r="Y2" s="246"/>
      <c r="Z2" s="247"/>
    </row>
    <row r="3">
      <c r="A3" s="51">
        <v>352120.0</v>
      </c>
      <c r="B3" s="155">
        <v>45751.0</v>
      </c>
      <c r="C3" s="51" t="s">
        <v>142</v>
      </c>
      <c r="D3" s="51">
        <v>100000.0</v>
      </c>
      <c r="E3" s="150">
        <v>0.0</v>
      </c>
      <c r="F3" s="150">
        <f>D3-E3</f>
        <v>100000</v>
      </c>
      <c r="G3" s="156">
        <v>4500.0</v>
      </c>
      <c r="H3" s="158">
        <f>IF(E3="","",(SUM($G$3*E3)))</f>
        <v>0</v>
      </c>
      <c r="I3" s="158">
        <f>F3*G3</f>
        <v>450000000</v>
      </c>
      <c r="J3" s="159" t="str">
        <f>IF(OR(D3="",E3=""),"",IF(F3&lt;=0,"Closed","Open"))</f>
        <v>Open</v>
      </c>
      <c r="K3" s="246"/>
      <c r="L3" s="246"/>
      <c r="M3" s="246"/>
      <c r="N3" s="246"/>
      <c r="O3" s="246"/>
      <c r="P3" s="246"/>
      <c r="Q3" s="246"/>
      <c r="R3" s="246"/>
      <c r="S3" s="246"/>
      <c r="T3" s="246"/>
      <c r="U3" s="246"/>
      <c r="V3" s="246"/>
      <c r="W3" s="246"/>
      <c r="X3" s="246"/>
      <c r="Y3" s="246"/>
      <c r="Z3" s="247"/>
    </row>
    <row r="4">
      <c r="A4" s="94"/>
      <c r="B4" s="160"/>
      <c r="C4" s="94"/>
      <c r="D4" s="94"/>
      <c r="E4" s="161"/>
      <c r="F4" s="161" t="str">
        <f t="shared" ref="F4:F10" si="1">IF(E4="","",(SUM(D3-E4)))</f>
        <v/>
      </c>
      <c r="G4" s="94"/>
      <c r="H4" s="166" t="str">
        <f t="shared" ref="H4:H10" si="2">IF(E4="","",(SUM(G3*E4)))</f>
        <v/>
      </c>
      <c r="I4" s="166" t="str">
        <f>IF(F4="","",(SUM(G3*F4)))</f>
        <v/>
      </c>
      <c r="J4" s="164" t="str">
        <f t="shared" ref="J4:J10" si="3">IF(OR(F4="",E4=""),"",IF(F4&lt;=0,"Closed","Open"))</f>
        <v/>
      </c>
      <c r="K4" s="246"/>
      <c r="L4" s="246"/>
      <c r="M4" s="246"/>
      <c r="N4" s="246"/>
      <c r="O4" s="246"/>
      <c r="P4" s="246"/>
      <c r="Q4" s="246"/>
      <c r="R4" s="246"/>
      <c r="S4" s="246"/>
      <c r="T4" s="246"/>
      <c r="U4" s="246"/>
      <c r="V4" s="246"/>
      <c r="W4" s="246"/>
      <c r="X4" s="246"/>
      <c r="Y4" s="246"/>
      <c r="Z4" s="247"/>
    </row>
    <row r="5">
      <c r="A5" s="61"/>
      <c r="B5" s="155"/>
      <c r="C5" s="61"/>
      <c r="D5" s="61"/>
      <c r="E5" s="150"/>
      <c r="F5" s="150" t="str">
        <f t="shared" si="1"/>
        <v/>
      </c>
      <c r="G5" s="61"/>
      <c r="H5" s="168" t="str">
        <f t="shared" si="2"/>
        <v/>
      </c>
      <c r="I5" s="168" t="str">
        <f>IF(F5="","",(SUM(G3*F5)))</f>
        <v/>
      </c>
      <c r="J5" s="159" t="str">
        <f t="shared" si="3"/>
        <v/>
      </c>
      <c r="K5" s="246"/>
      <c r="L5" s="246"/>
      <c r="M5" s="246"/>
      <c r="N5" s="246"/>
      <c r="O5" s="246"/>
      <c r="P5" s="246"/>
      <c r="Q5" s="246"/>
      <c r="R5" s="246"/>
      <c r="S5" s="246"/>
      <c r="T5" s="246"/>
      <c r="U5" s="246"/>
      <c r="V5" s="246"/>
      <c r="W5" s="246"/>
      <c r="X5" s="246"/>
      <c r="Y5" s="246"/>
      <c r="Z5" s="247"/>
    </row>
    <row r="6">
      <c r="A6" s="94"/>
      <c r="B6" s="160"/>
      <c r="C6" s="94"/>
      <c r="D6" s="94"/>
      <c r="E6" s="161"/>
      <c r="F6" s="161" t="str">
        <f t="shared" si="1"/>
        <v/>
      </c>
      <c r="G6" s="94"/>
      <c r="H6" s="166" t="str">
        <f t="shared" si="2"/>
        <v/>
      </c>
      <c r="I6" s="166" t="str">
        <f>IF(F6="","",(SUM(G3*F6)))</f>
        <v/>
      </c>
      <c r="J6" s="164" t="str">
        <f t="shared" si="3"/>
        <v/>
      </c>
      <c r="K6" s="246"/>
      <c r="L6" s="246"/>
      <c r="M6" s="246"/>
      <c r="N6" s="246"/>
      <c r="O6" s="246"/>
      <c r="P6" s="246"/>
      <c r="Q6" s="246"/>
      <c r="R6" s="246"/>
      <c r="S6" s="246"/>
      <c r="T6" s="246"/>
      <c r="U6" s="246"/>
      <c r="V6" s="246"/>
      <c r="W6" s="246"/>
      <c r="X6" s="246"/>
      <c r="Y6" s="246"/>
      <c r="Z6" s="247"/>
    </row>
    <row r="7">
      <c r="A7" s="61"/>
      <c r="B7" s="155"/>
      <c r="C7" s="61"/>
      <c r="D7" s="61"/>
      <c r="E7" s="150"/>
      <c r="F7" s="150" t="str">
        <f t="shared" si="1"/>
        <v/>
      </c>
      <c r="G7" s="61"/>
      <c r="H7" s="168" t="str">
        <f t="shared" si="2"/>
        <v/>
      </c>
      <c r="I7" s="168" t="str">
        <f>IF(F7="","",(SUM(G3*F7)))</f>
        <v/>
      </c>
      <c r="J7" s="159" t="str">
        <f t="shared" si="3"/>
        <v/>
      </c>
      <c r="K7" s="246"/>
      <c r="L7" s="246"/>
      <c r="M7" s="246"/>
      <c r="N7" s="246"/>
      <c r="O7" s="246"/>
      <c r="P7" s="246"/>
      <c r="Q7" s="246"/>
      <c r="R7" s="246"/>
      <c r="S7" s="246"/>
      <c r="T7" s="246"/>
      <c r="U7" s="246"/>
      <c r="V7" s="246"/>
      <c r="W7" s="246"/>
      <c r="X7" s="246"/>
      <c r="Y7" s="246"/>
      <c r="Z7" s="247"/>
    </row>
    <row r="8">
      <c r="A8" s="94"/>
      <c r="B8" s="160"/>
      <c r="C8" s="94"/>
      <c r="D8" s="94"/>
      <c r="E8" s="161"/>
      <c r="F8" s="161" t="str">
        <f t="shared" si="1"/>
        <v/>
      </c>
      <c r="G8" s="94"/>
      <c r="H8" s="166" t="str">
        <f t="shared" si="2"/>
        <v/>
      </c>
      <c r="I8" s="166" t="str">
        <f>IF(F8="","",(SUM(G3*F8)))</f>
        <v/>
      </c>
      <c r="J8" s="164" t="str">
        <f t="shared" si="3"/>
        <v/>
      </c>
      <c r="K8" s="246"/>
      <c r="L8" s="246"/>
      <c r="M8" s="246"/>
      <c r="N8" s="246"/>
      <c r="O8" s="246"/>
      <c r="P8" s="246"/>
      <c r="Q8" s="246"/>
      <c r="R8" s="246"/>
      <c r="S8" s="246"/>
      <c r="T8" s="246"/>
      <c r="U8" s="246"/>
      <c r="V8" s="246"/>
      <c r="W8" s="246"/>
      <c r="X8" s="246"/>
      <c r="Y8" s="246"/>
      <c r="Z8" s="247"/>
    </row>
    <row r="9">
      <c r="A9" s="61"/>
      <c r="B9" s="155"/>
      <c r="C9" s="61"/>
      <c r="D9" s="61"/>
      <c r="E9" s="150"/>
      <c r="F9" s="150" t="str">
        <f t="shared" si="1"/>
        <v/>
      </c>
      <c r="G9" s="61"/>
      <c r="H9" s="168" t="str">
        <f t="shared" si="2"/>
        <v/>
      </c>
      <c r="I9" s="168" t="str">
        <f>IF(F9="","",(SUM(G3*F9)))</f>
        <v/>
      </c>
      <c r="J9" s="159" t="str">
        <f t="shared" si="3"/>
        <v/>
      </c>
      <c r="K9" s="246"/>
      <c r="L9" s="246"/>
      <c r="M9" s="246"/>
      <c r="N9" s="246"/>
      <c r="O9" s="246"/>
      <c r="P9" s="246"/>
      <c r="Q9" s="246"/>
      <c r="R9" s="246"/>
      <c r="S9" s="246"/>
      <c r="T9" s="246"/>
      <c r="U9" s="246"/>
      <c r="V9" s="246"/>
      <c r="W9" s="246"/>
      <c r="X9" s="246"/>
      <c r="Y9" s="246"/>
      <c r="Z9" s="247"/>
    </row>
    <row r="10">
      <c r="A10" s="138"/>
      <c r="B10" s="160"/>
      <c r="C10" s="138"/>
      <c r="D10" s="138"/>
      <c r="E10" s="161"/>
      <c r="F10" s="161" t="str">
        <f t="shared" si="1"/>
        <v/>
      </c>
      <c r="G10" s="138"/>
      <c r="H10" s="166" t="str">
        <f t="shared" si="2"/>
        <v/>
      </c>
      <c r="I10" s="166" t="str">
        <f>IF(F10="","",(SUM(G3*F10)))</f>
        <v/>
      </c>
      <c r="J10" s="164" t="str">
        <f t="shared" si="3"/>
        <v/>
      </c>
      <c r="K10" s="246"/>
      <c r="L10" s="246"/>
      <c r="M10" s="246"/>
      <c r="N10" s="246"/>
      <c r="O10" s="246"/>
      <c r="P10" s="246"/>
      <c r="Q10" s="246"/>
      <c r="R10" s="246"/>
      <c r="S10" s="246"/>
      <c r="T10" s="246"/>
      <c r="U10" s="246"/>
      <c r="V10" s="246"/>
      <c r="W10" s="246"/>
      <c r="X10" s="246"/>
      <c r="Y10" s="246"/>
      <c r="Z10" s="247"/>
    </row>
    <row r="11">
      <c r="A11" s="248"/>
      <c r="B11" s="248"/>
      <c r="C11" s="248"/>
      <c r="D11" s="248"/>
      <c r="E11" s="248"/>
      <c r="F11" s="248"/>
      <c r="G11" s="248"/>
      <c r="H11" s="248"/>
      <c r="I11" s="248"/>
      <c r="J11" s="248"/>
      <c r="K11" s="246"/>
      <c r="L11" s="246"/>
      <c r="M11" s="246"/>
      <c r="N11" s="246"/>
      <c r="O11" s="246"/>
      <c r="P11" s="246"/>
      <c r="Q11" s="246"/>
      <c r="R11" s="246"/>
      <c r="S11" s="246"/>
      <c r="T11" s="246"/>
      <c r="U11" s="246"/>
      <c r="V11" s="246"/>
      <c r="W11" s="246"/>
      <c r="X11" s="246"/>
      <c r="Y11" s="246"/>
      <c r="Z11" s="247"/>
    </row>
    <row r="12">
      <c r="A12" s="249"/>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7"/>
    </row>
    <row r="13">
      <c r="A13" s="249"/>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7"/>
    </row>
    <row r="14">
      <c r="A14" s="249"/>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7"/>
    </row>
    <row r="15">
      <c r="A15" s="249"/>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7"/>
    </row>
    <row r="16">
      <c r="A16" s="249"/>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7"/>
    </row>
    <row r="17">
      <c r="A17" s="249"/>
      <c r="B17" s="246"/>
      <c r="C17" s="246"/>
      <c r="D17" s="246"/>
      <c r="E17" s="246"/>
      <c r="F17" s="246"/>
      <c r="G17" s="246"/>
      <c r="H17" s="246"/>
      <c r="I17" s="246"/>
      <c r="J17" s="246"/>
      <c r="K17" s="246"/>
      <c r="L17" s="246"/>
      <c r="M17" s="246"/>
      <c r="N17" s="246"/>
      <c r="O17" s="246"/>
      <c r="P17" s="246"/>
      <c r="Q17" s="246"/>
      <c r="R17" s="246"/>
      <c r="S17" s="246"/>
      <c r="T17" s="246"/>
      <c r="U17" s="246"/>
      <c r="V17" s="246"/>
      <c r="W17" s="246"/>
      <c r="X17" s="246"/>
      <c r="Y17" s="246"/>
      <c r="Z17" s="247"/>
    </row>
    <row r="18">
      <c r="A18" s="249"/>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7"/>
    </row>
    <row r="19">
      <c r="A19" s="249"/>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7"/>
    </row>
    <row r="20">
      <c r="A20" s="249"/>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7"/>
    </row>
    <row r="21">
      <c r="A21" s="249"/>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7"/>
    </row>
    <row r="22">
      <c r="A22" s="249"/>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7"/>
    </row>
    <row r="23">
      <c r="A23" s="249"/>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7"/>
    </row>
    <row r="24">
      <c r="A24" s="249"/>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7"/>
    </row>
    <row r="25">
      <c r="A25" s="249"/>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7"/>
    </row>
    <row r="26">
      <c r="A26" s="249"/>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7"/>
    </row>
    <row r="27">
      <c r="A27" s="249"/>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7"/>
    </row>
    <row r="28">
      <c r="A28" s="249"/>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7"/>
    </row>
    <row r="29">
      <c r="A29" s="249"/>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7"/>
    </row>
    <row r="30">
      <c r="A30" s="249"/>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7"/>
    </row>
    <row r="31">
      <c r="A31" s="249"/>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7"/>
    </row>
    <row r="32">
      <c r="A32" s="249"/>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7"/>
    </row>
    <row r="33">
      <c r="A33" s="249"/>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7"/>
    </row>
    <row r="34">
      <c r="A34" s="249"/>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7"/>
    </row>
    <row r="35">
      <c r="A35" s="249"/>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7"/>
    </row>
    <row r="36">
      <c r="A36" s="249"/>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7"/>
    </row>
    <row r="37">
      <c r="A37" s="249"/>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7"/>
    </row>
    <row r="38">
      <c r="A38" s="249"/>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7"/>
    </row>
    <row r="39">
      <c r="A39" s="249"/>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7"/>
    </row>
    <row r="40">
      <c r="A40" s="249"/>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7"/>
    </row>
    <row r="41">
      <c r="A41" s="249"/>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7"/>
    </row>
    <row r="42">
      <c r="A42" s="249"/>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7"/>
    </row>
    <row r="43">
      <c r="A43" s="249"/>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7"/>
    </row>
    <row r="44">
      <c r="A44" s="249"/>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7"/>
    </row>
    <row r="45">
      <c r="A45" s="249"/>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7"/>
    </row>
    <row r="46">
      <c r="A46" s="249"/>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7"/>
    </row>
    <row r="47">
      <c r="A47" s="249"/>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7"/>
    </row>
    <row r="48">
      <c r="A48" s="249"/>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7"/>
    </row>
    <row r="49">
      <c r="A49" s="249"/>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7"/>
    </row>
    <row r="50">
      <c r="A50" s="249"/>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7"/>
    </row>
    <row r="51">
      <c r="A51" s="249"/>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7"/>
    </row>
    <row r="52">
      <c r="A52" s="249"/>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7"/>
    </row>
    <row r="53">
      <c r="A53" s="249"/>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7"/>
    </row>
    <row r="54">
      <c r="A54" s="249"/>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7"/>
    </row>
    <row r="55">
      <c r="A55" s="249"/>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7"/>
    </row>
    <row r="56">
      <c r="A56" s="249"/>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7"/>
    </row>
    <row r="57">
      <c r="A57" s="249"/>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7"/>
    </row>
    <row r="58">
      <c r="A58" s="249"/>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7"/>
    </row>
    <row r="59">
      <c r="A59" s="249"/>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7"/>
    </row>
    <row r="60">
      <c r="A60" s="249"/>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7"/>
    </row>
    <row r="61">
      <c r="A61" s="249"/>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7"/>
    </row>
    <row r="62">
      <c r="A62" s="249"/>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7"/>
    </row>
    <row r="63">
      <c r="A63" s="249"/>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7"/>
    </row>
    <row r="64">
      <c r="A64" s="249"/>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7"/>
    </row>
    <row r="65">
      <c r="A65" s="249"/>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7"/>
    </row>
    <row r="66">
      <c r="A66" s="249"/>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7"/>
    </row>
    <row r="67">
      <c r="A67" s="249"/>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7"/>
    </row>
    <row r="68">
      <c r="A68" s="249"/>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7"/>
    </row>
    <row r="69">
      <c r="A69" s="249"/>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7"/>
    </row>
    <row r="70">
      <c r="A70" s="249"/>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7"/>
    </row>
    <row r="71">
      <c r="A71" s="249"/>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7"/>
    </row>
    <row r="72">
      <c r="A72" s="249"/>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7"/>
    </row>
    <row r="73">
      <c r="A73" s="249"/>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7"/>
    </row>
    <row r="74">
      <c r="A74" s="249"/>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7"/>
    </row>
    <row r="75">
      <c r="A75" s="249"/>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7"/>
    </row>
    <row r="76">
      <c r="A76" s="249"/>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7"/>
    </row>
    <row r="77">
      <c r="A77" s="249"/>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7"/>
    </row>
    <row r="78">
      <c r="A78" s="249"/>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7"/>
    </row>
    <row r="79">
      <c r="A79" s="249"/>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7"/>
    </row>
    <row r="80">
      <c r="A80" s="249"/>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7"/>
    </row>
    <row r="81">
      <c r="A81" s="249"/>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7"/>
    </row>
    <row r="82">
      <c r="A82" s="249"/>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7"/>
    </row>
    <row r="83">
      <c r="A83" s="249"/>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7"/>
    </row>
    <row r="84">
      <c r="A84" s="249"/>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7"/>
    </row>
    <row r="85">
      <c r="A85" s="249"/>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7"/>
    </row>
    <row r="86">
      <c r="A86" s="249"/>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7"/>
    </row>
    <row r="87">
      <c r="A87" s="249"/>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7"/>
    </row>
    <row r="88">
      <c r="A88" s="249"/>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7"/>
    </row>
    <row r="89">
      <c r="A89" s="249"/>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7"/>
    </row>
    <row r="90">
      <c r="A90" s="249"/>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7"/>
    </row>
    <row r="91">
      <c r="A91" s="249"/>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7"/>
    </row>
    <row r="92">
      <c r="A92" s="249"/>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7"/>
    </row>
    <row r="93">
      <c r="A93" s="249"/>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7"/>
    </row>
    <row r="94">
      <c r="A94" s="249"/>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c r="A95" s="249"/>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7"/>
    </row>
    <row r="96">
      <c r="A96" s="249"/>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7"/>
    </row>
    <row r="97">
      <c r="A97" s="249"/>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7"/>
    </row>
    <row r="98">
      <c r="A98" s="249"/>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7"/>
    </row>
    <row r="99">
      <c r="A99" s="249"/>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7"/>
    </row>
    <row r="100">
      <c r="A100" s="249"/>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7"/>
    </row>
    <row r="101">
      <c r="A101" s="249"/>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7"/>
    </row>
    <row r="102">
      <c r="A102" s="249"/>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7"/>
    </row>
    <row r="103">
      <c r="A103" s="249"/>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7"/>
    </row>
    <row r="104">
      <c r="A104" s="249"/>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7"/>
    </row>
    <row r="105">
      <c r="A105" s="249"/>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7"/>
    </row>
    <row r="106">
      <c r="A106" s="249"/>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7"/>
    </row>
    <row r="107">
      <c r="A107" s="249"/>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7"/>
    </row>
    <row r="108">
      <c r="A108" s="249"/>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7"/>
    </row>
    <row r="109">
      <c r="A109" s="249"/>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7"/>
    </row>
    <row r="110">
      <c r="A110" s="249"/>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7"/>
    </row>
    <row r="111">
      <c r="A111" s="249"/>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7"/>
    </row>
    <row r="112">
      <c r="A112" s="249"/>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7"/>
    </row>
    <row r="113">
      <c r="A113" s="249"/>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7"/>
    </row>
    <row r="114">
      <c r="A114" s="249"/>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7"/>
    </row>
    <row r="115">
      <c r="A115" s="249"/>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7"/>
    </row>
    <row r="116">
      <c r="A116" s="249"/>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7"/>
    </row>
    <row r="117">
      <c r="A117" s="249"/>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7"/>
    </row>
    <row r="118">
      <c r="A118" s="249"/>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7"/>
    </row>
    <row r="119">
      <c r="A119" s="249"/>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7"/>
    </row>
    <row r="120">
      <c r="A120" s="249"/>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7"/>
    </row>
    <row r="121">
      <c r="A121" s="249"/>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7"/>
    </row>
    <row r="122">
      <c r="A122" s="249"/>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7"/>
    </row>
    <row r="123">
      <c r="A123" s="249"/>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7"/>
    </row>
    <row r="124">
      <c r="A124" s="249"/>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7"/>
    </row>
    <row r="125">
      <c r="A125" s="249"/>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7"/>
    </row>
    <row r="126">
      <c r="A126" s="249"/>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7"/>
    </row>
    <row r="127">
      <c r="A127" s="249"/>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7"/>
    </row>
    <row r="128">
      <c r="A128" s="249"/>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7"/>
    </row>
    <row r="129">
      <c r="A129" s="249"/>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7"/>
    </row>
    <row r="130">
      <c r="A130" s="249"/>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7"/>
    </row>
    <row r="131">
      <c r="A131" s="249"/>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7"/>
    </row>
    <row r="132">
      <c r="A132" s="249"/>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7"/>
    </row>
    <row r="133">
      <c r="A133" s="249"/>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7"/>
    </row>
    <row r="134">
      <c r="A134" s="249"/>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7"/>
    </row>
    <row r="135">
      <c r="A135" s="249"/>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7"/>
    </row>
    <row r="136">
      <c r="A136" s="249"/>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7"/>
    </row>
    <row r="137">
      <c r="A137" s="249"/>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7"/>
    </row>
    <row r="138">
      <c r="A138" s="249"/>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7"/>
    </row>
    <row r="139">
      <c r="A139" s="249"/>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7"/>
    </row>
    <row r="140">
      <c r="A140" s="249"/>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7"/>
    </row>
    <row r="141">
      <c r="A141" s="249"/>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7"/>
    </row>
    <row r="142">
      <c r="A142" s="249"/>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7"/>
    </row>
    <row r="143">
      <c r="A143" s="249"/>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7"/>
    </row>
    <row r="144">
      <c r="A144" s="249"/>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7"/>
    </row>
    <row r="145">
      <c r="A145" s="249"/>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7"/>
    </row>
    <row r="146">
      <c r="A146" s="249"/>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7"/>
    </row>
    <row r="147">
      <c r="A147" s="249"/>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7"/>
    </row>
    <row r="148">
      <c r="A148" s="249"/>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7"/>
    </row>
    <row r="149">
      <c r="A149" s="249"/>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7"/>
    </row>
    <row r="150">
      <c r="A150" s="249"/>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7"/>
    </row>
    <row r="151">
      <c r="A151" s="249"/>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7"/>
    </row>
    <row r="152">
      <c r="A152" s="249"/>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7"/>
    </row>
    <row r="153">
      <c r="A153" s="249"/>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7"/>
    </row>
    <row r="154">
      <c r="A154" s="249"/>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7"/>
    </row>
    <row r="155">
      <c r="A155" s="249"/>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7"/>
    </row>
    <row r="156">
      <c r="A156" s="249"/>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7"/>
    </row>
    <row r="157">
      <c r="A157" s="249"/>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7"/>
    </row>
    <row r="158">
      <c r="A158" s="249"/>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7"/>
    </row>
    <row r="159">
      <c r="A159" s="249"/>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7"/>
    </row>
    <row r="160">
      <c r="A160" s="249"/>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7"/>
    </row>
    <row r="161">
      <c r="A161" s="249"/>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7"/>
    </row>
    <row r="162">
      <c r="A162" s="249"/>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7"/>
    </row>
    <row r="163">
      <c r="A163" s="249"/>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7"/>
    </row>
    <row r="164">
      <c r="A164" s="249"/>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7"/>
    </row>
    <row r="165">
      <c r="A165" s="249"/>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7"/>
    </row>
    <row r="166">
      <c r="A166" s="249"/>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7"/>
    </row>
    <row r="167">
      <c r="A167" s="249"/>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7"/>
    </row>
    <row r="168">
      <c r="A168" s="249"/>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7"/>
    </row>
    <row r="169">
      <c r="A169" s="249"/>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7"/>
    </row>
    <row r="170">
      <c r="A170" s="249"/>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7"/>
    </row>
    <row r="171">
      <c r="A171" s="249"/>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7"/>
    </row>
    <row r="172">
      <c r="A172" s="249"/>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7"/>
    </row>
    <row r="173">
      <c r="A173" s="249"/>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7"/>
    </row>
    <row r="174">
      <c r="A174" s="249"/>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7"/>
    </row>
    <row r="175">
      <c r="A175" s="249"/>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7"/>
    </row>
    <row r="176">
      <c r="A176" s="249"/>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7"/>
    </row>
    <row r="177">
      <c r="A177" s="249"/>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7"/>
    </row>
    <row r="178">
      <c r="A178" s="249"/>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7"/>
    </row>
    <row r="179">
      <c r="A179" s="249"/>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7"/>
    </row>
    <row r="180">
      <c r="A180" s="249"/>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7"/>
    </row>
    <row r="181">
      <c r="A181" s="249"/>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7"/>
    </row>
    <row r="182">
      <c r="A182" s="249"/>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7"/>
    </row>
    <row r="183">
      <c r="A183" s="249"/>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7"/>
    </row>
    <row r="184">
      <c r="A184" s="249"/>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7"/>
    </row>
    <row r="185">
      <c r="A185" s="249"/>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7"/>
    </row>
    <row r="186">
      <c r="A186" s="249"/>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7"/>
    </row>
    <row r="187">
      <c r="A187" s="249"/>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7"/>
    </row>
    <row r="188">
      <c r="A188" s="249"/>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7"/>
    </row>
    <row r="189">
      <c r="A189" s="249"/>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7"/>
    </row>
    <row r="190">
      <c r="A190" s="249"/>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7"/>
    </row>
    <row r="191">
      <c r="A191" s="249"/>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7"/>
    </row>
    <row r="192">
      <c r="A192" s="249"/>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7"/>
    </row>
    <row r="193">
      <c r="A193" s="249"/>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7"/>
    </row>
    <row r="194">
      <c r="A194" s="249"/>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7"/>
    </row>
    <row r="195">
      <c r="A195" s="249"/>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7"/>
    </row>
    <row r="196">
      <c r="A196" s="249"/>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7"/>
    </row>
    <row r="197">
      <c r="A197" s="249"/>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7"/>
    </row>
    <row r="198">
      <c r="A198" s="249"/>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7"/>
    </row>
    <row r="199">
      <c r="A199" s="249"/>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7"/>
    </row>
    <row r="200">
      <c r="A200" s="249"/>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7"/>
    </row>
    <row r="201">
      <c r="A201" s="249"/>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7"/>
    </row>
    <row r="202">
      <c r="A202" s="249"/>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7"/>
    </row>
    <row r="203">
      <c r="A203" s="249"/>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7"/>
    </row>
    <row r="204">
      <c r="A204" s="249"/>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7"/>
    </row>
    <row r="205">
      <c r="A205" s="249"/>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7"/>
    </row>
    <row r="206">
      <c r="A206" s="249"/>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7"/>
    </row>
    <row r="207">
      <c r="A207" s="249"/>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7"/>
    </row>
    <row r="208">
      <c r="A208" s="249"/>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7"/>
    </row>
    <row r="209">
      <c r="A209" s="249"/>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7"/>
    </row>
    <row r="210">
      <c r="A210" s="249"/>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7"/>
    </row>
    <row r="211">
      <c r="A211" s="249"/>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7"/>
    </row>
    <row r="212">
      <c r="A212" s="249"/>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7"/>
    </row>
    <row r="213">
      <c r="A213" s="249"/>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7"/>
    </row>
    <row r="214">
      <c r="A214" s="249"/>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7"/>
    </row>
    <row r="215">
      <c r="A215" s="249"/>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7"/>
    </row>
    <row r="216">
      <c r="A216" s="249"/>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7"/>
    </row>
    <row r="217">
      <c r="A217" s="249"/>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7"/>
    </row>
    <row r="218">
      <c r="A218" s="249"/>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7"/>
    </row>
    <row r="219">
      <c r="A219" s="249"/>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7"/>
    </row>
    <row r="220">
      <c r="A220" s="249"/>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7"/>
    </row>
    <row r="221">
      <c r="A221" s="249"/>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7"/>
    </row>
    <row r="222">
      <c r="A222" s="249"/>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7"/>
    </row>
    <row r="223">
      <c r="A223" s="249"/>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7"/>
    </row>
    <row r="224">
      <c r="A224" s="249"/>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7"/>
    </row>
    <row r="225">
      <c r="A225" s="249"/>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7"/>
    </row>
    <row r="226">
      <c r="A226" s="249"/>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7"/>
    </row>
    <row r="227">
      <c r="A227" s="249"/>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7"/>
    </row>
    <row r="228">
      <c r="A228" s="249"/>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7"/>
    </row>
    <row r="229">
      <c r="A229" s="249"/>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7"/>
    </row>
    <row r="230">
      <c r="A230" s="249"/>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7"/>
    </row>
    <row r="231">
      <c r="A231" s="249"/>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7"/>
    </row>
    <row r="232">
      <c r="A232" s="249"/>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7"/>
    </row>
    <row r="233">
      <c r="A233" s="249"/>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7"/>
    </row>
    <row r="234">
      <c r="A234" s="249"/>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7"/>
    </row>
    <row r="235">
      <c r="A235" s="249"/>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7"/>
    </row>
    <row r="236">
      <c r="A236" s="249"/>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7"/>
    </row>
    <row r="237">
      <c r="A237" s="249"/>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7"/>
    </row>
    <row r="238">
      <c r="A238" s="249"/>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7"/>
    </row>
    <row r="239">
      <c r="A239" s="249"/>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7"/>
    </row>
    <row r="240">
      <c r="A240" s="249"/>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7"/>
    </row>
    <row r="241">
      <c r="A241" s="249"/>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7"/>
    </row>
    <row r="242">
      <c r="A242" s="249"/>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7"/>
    </row>
    <row r="243">
      <c r="A243" s="249"/>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7"/>
    </row>
    <row r="244">
      <c r="A244" s="249"/>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7"/>
    </row>
    <row r="245">
      <c r="A245" s="249"/>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7"/>
    </row>
    <row r="246">
      <c r="A246" s="249"/>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7"/>
    </row>
    <row r="247">
      <c r="A247" s="249"/>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7"/>
    </row>
    <row r="248">
      <c r="A248" s="249"/>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7"/>
    </row>
    <row r="249">
      <c r="A249" s="249"/>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7"/>
    </row>
    <row r="250">
      <c r="A250" s="249"/>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7"/>
    </row>
    <row r="251">
      <c r="A251" s="249"/>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7"/>
    </row>
    <row r="252">
      <c r="A252" s="249"/>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7"/>
    </row>
    <row r="253">
      <c r="A253" s="249"/>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7"/>
    </row>
    <row r="254">
      <c r="A254" s="249"/>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7"/>
    </row>
    <row r="255">
      <c r="A255" s="249"/>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7"/>
    </row>
    <row r="256">
      <c r="A256" s="249"/>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7"/>
    </row>
    <row r="257">
      <c r="A257" s="249"/>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7"/>
    </row>
    <row r="258">
      <c r="A258" s="249"/>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7"/>
    </row>
    <row r="259">
      <c r="A259" s="249"/>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7"/>
    </row>
    <row r="260">
      <c r="A260" s="249"/>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7"/>
    </row>
    <row r="261">
      <c r="A261" s="249"/>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7"/>
    </row>
    <row r="262">
      <c r="A262" s="249"/>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7"/>
    </row>
    <row r="263">
      <c r="A263" s="249"/>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7"/>
    </row>
    <row r="264">
      <c r="A264" s="249"/>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7"/>
    </row>
    <row r="265">
      <c r="A265" s="249"/>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7"/>
    </row>
    <row r="266">
      <c r="A266" s="249"/>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7"/>
    </row>
    <row r="267">
      <c r="A267" s="249"/>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7"/>
    </row>
    <row r="268">
      <c r="A268" s="249"/>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7"/>
    </row>
    <row r="269">
      <c r="A269" s="249"/>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7"/>
    </row>
    <row r="270">
      <c r="A270" s="249"/>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7"/>
    </row>
    <row r="271">
      <c r="A271" s="249"/>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7"/>
    </row>
    <row r="272">
      <c r="A272" s="249"/>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7"/>
    </row>
    <row r="273">
      <c r="A273" s="249"/>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7"/>
    </row>
    <row r="274">
      <c r="A274" s="249"/>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7"/>
    </row>
    <row r="275">
      <c r="A275" s="249"/>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7"/>
    </row>
    <row r="276">
      <c r="A276" s="249"/>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7"/>
    </row>
    <row r="277">
      <c r="A277" s="249"/>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7"/>
    </row>
    <row r="278">
      <c r="A278" s="249"/>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7"/>
    </row>
    <row r="279">
      <c r="A279" s="249"/>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7"/>
    </row>
    <row r="280">
      <c r="A280" s="249"/>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7"/>
    </row>
    <row r="281">
      <c r="A281" s="249"/>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7"/>
    </row>
    <row r="282">
      <c r="A282" s="249"/>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7"/>
    </row>
    <row r="283">
      <c r="A283" s="249"/>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7"/>
    </row>
    <row r="284">
      <c r="A284" s="249"/>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7"/>
    </row>
    <row r="285">
      <c r="A285" s="249"/>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7"/>
    </row>
    <row r="286">
      <c r="A286" s="249"/>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7"/>
    </row>
    <row r="287">
      <c r="A287" s="249"/>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7"/>
    </row>
    <row r="288">
      <c r="A288" s="249"/>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7"/>
    </row>
    <row r="289">
      <c r="A289" s="249"/>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7"/>
    </row>
    <row r="290">
      <c r="A290" s="249"/>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7"/>
    </row>
    <row r="291">
      <c r="A291" s="249"/>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7"/>
    </row>
    <row r="292">
      <c r="A292" s="249"/>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7"/>
    </row>
    <row r="293">
      <c r="A293" s="249"/>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7"/>
    </row>
    <row r="294">
      <c r="A294" s="249"/>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7"/>
    </row>
    <row r="295">
      <c r="A295" s="249"/>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7"/>
    </row>
    <row r="296">
      <c r="A296" s="249"/>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7"/>
    </row>
    <row r="297">
      <c r="A297" s="249"/>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7"/>
    </row>
    <row r="298">
      <c r="A298" s="249"/>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7"/>
    </row>
    <row r="299">
      <c r="A299" s="249"/>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7"/>
    </row>
    <row r="300">
      <c r="A300" s="249"/>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7"/>
    </row>
    <row r="301">
      <c r="A301" s="249"/>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7"/>
    </row>
    <row r="302">
      <c r="A302" s="249"/>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7"/>
    </row>
    <row r="303">
      <c r="A303" s="249"/>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7"/>
    </row>
    <row r="304">
      <c r="A304" s="249"/>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7"/>
    </row>
    <row r="305">
      <c r="A305" s="249"/>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7"/>
    </row>
    <row r="306">
      <c r="A306" s="249"/>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7"/>
    </row>
    <row r="307">
      <c r="A307" s="249"/>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7"/>
    </row>
    <row r="308">
      <c r="A308" s="249"/>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7"/>
    </row>
    <row r="309">
      <c r="A309" s="249"/>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7"/>
    </row>
    <row r="310">
      <c r="A310" s="249"/>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7"/>
    </row>
    <row r="311">
      <c r="A311" s="249"/>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7"/>
    </row>
    <row r="312">
      <c r="A312" s="249"/>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7"/>
    </row>
    <row r="313">
      <c r="A313" s="249"/>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7"/>
    </row>
    <row r="314">
      <c r="A314" s="249"/>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7"/>
    </row>
    <row r="315">
      <c r="A315" s="249"/>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7"/>
    </row>
    <row r="316">
      <c r="A316" s="249"/>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7"/>
    </row>
    <row r="317">
      <c r="A317" s="249"/>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7"/>
    </row>
    <row r="318">
      <c r="A318" s="249"/>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7"/>
    </row>
    <row r="319">
      <c r="A319" s="249"/>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7"/>
    </row>
    <row r="320">
      <c r="A320" s="249"/>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7"/>
    </row>
    <row r="321">
      <c r="A321" s="249"/>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7"/>
    </row>
    <row r="322">
      <c r="A322" s="249"/>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7"/>
    </row>
    <row r="323">
      <c r="A323" s="249"/>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7"/>
    </row>
    <row r="324">
      <c r="A324" s="249"/>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7"/>
    </row>
    <row r="325">
      <c r="A325" s="249"/>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7"/>
    </row>
    <row r="326">
      <c r="A326" s="249"/>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7"/>
    </row>
    <row r="327">
      <c r="A327" s="249"/>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7"/>
    </row>
    <row r="328">
      <c r="A328" s="249"/>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7"/>
    </row>
    <row r="329">
      <c r="A329" s="249"/>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7"/>
    </row>
    <row r="330">
      <c r="A330" s="249"/>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7"/>
    </row>
    <row r="331">
      <c r="A331" s="249"/>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7"/>
    </row>
    <row r="332">
      <c r="A332" s="249"/>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7"/>
    </row>
    <row r="333">
      <c r="A333" s="249"/>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7"/>
    </row>
    <row r="334">
      <c r="A334" s="249"/>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7"/>
    </row>
    <row r="335">
      <c r="A335" s="249"/>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7"/>
    </row>
    <row r="336">
      <c r="A336" s="249"/>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7"/>
    </row>
    <row r="337">
      <c r="A337" s="249"/>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7"/>
    </row>
    <row r="338">
      <c r="A338" s="249"/>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7"/>
    </row>
    <row r="339">
      <c r="A339" s="249"/>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7"/>
    </row>
    <row r="340">
      <c r="A340" s="249"/>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7"/>
    </row>
    <row r="341">
      <c r="A341" s="249"/>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7"/>
    </row>
    <row r="342">
      <c r="A342" s="249"/>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7"/>
    </row>
    <row r="343">
      <c r="A343" s="249"/>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7"/>
    </row>
    <row r="344">
      <c r="A344" s="249"/>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7"/>
    </row>
    <row r="345">
      <c r="A345" s="249"/>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7"/>
    </row>
    <row r="346">
      <c r="A346" s="249"/>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7"/>
    </row>
    <row r="347">
      <c r="A347" s="249"/>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7"/>
    </row>
    <row r="348">
      <c r="A348" s="249"/>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7"/>
    </row>
    <row r="349">
      <c r="A349" s="249"/>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7"/>
    </row>
    <row r="350">
      <c r="A350" s="249"/>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7"/>
    </row>
    <row r="351">
      <c r="A351" s="249"/>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7"/>
    </row>
    <row r="352">
      <c r="A352" s="249"/>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7"/>
    </row>
    <row r="353">
      <c r="A353" s="249"/>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7"/>
    </row>
    <row r="354">
      <c r="A354" s="249"/>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7"/>
    </row>
    <row r="355">
      <c r="A355" s="249"/>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7"/>
    </row>
    <row r="356">
      <c r="A356" s="249"/>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7"/>
    </row>
    <row r="357">
      <c r="A357" s="249"/>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7"/>
    </row>
    <row r="358">
      <c r="A358" s="249"/>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7"/>
    </row>
    <row r="359">
      <c r="A359" s="249"/>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7"/>
    </row>
    <row r="360">
      <c r="A360" s="249"/>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7"/>
    </row>
    <row r="361">
      <c r="A361" s="249"/>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7"/>
    </row>
    <row r="362">
      <c r="A362" s="249"/>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7"/>
    </row>
    <row r="363">
      <c r="A363" s="249"/>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7"/>
    </row>
    <row r="364">
      <c r="A364" s="249"/>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7"/>
    </row>
    <row r="365">
      <c r="A365" s="249"/>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7"/>
    </row>
    <row r="366">
      <c r="A366" s="249"/>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7"/>
    </row>
    <row r="367">
      <c r="A367" s="249"/>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7"/>
    </row>
    <row r="368">
      <c r="A368" s="249"/>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7"/>
    </row>
    <row r="369">
      <c r="A369" s="249"/>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7"/>
    </row>
    <row r="370">
      <c r="A370" s="249"/>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7"/>
    </row>
    <row r="371">
      <c r="A371" s="249"/>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7"/>
    </row>
    <row r="372">
      <c r="A372" s="249"/>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7"/>
    </row>
    <row r="373">
      <c r="A373" s="249"/>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7"/>
    </row>
    <row r="374">
      <c r="A374" s="249"/>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7"/>
    </row>
    <row r="375">
      <c r="A375" s="249"/>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7"/>
    </row>
    <row r="376">
      <c r="A376" s="249"/>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7"/>
    </row>
    <row r="377">
      <c r="A377" s="249"/>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7"/>
    </row>
    <row r="378">
      <c r="A378" s="249"/>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7"/>
    </row>
    <row r="379">
      <c r="A379" s="249"/>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7"/>
    </row>
    <row r="380">
      <c r="A380" s="249"/>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7"/>
    </row>
    <row r="381">
      <c r="A381" s="249"/>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7"/>
    </row>
    <row r="382">
      <c r="A382" s="249"/>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7"/>
    </row>
    <row r="383">
      <c r="A383" s="249"/>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7"/>
    </row>
    <row r="384">
      <c r="A384" s="249"/>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7"/>
    </row>
    <row r="385">
      <c r="A385" s="249"/>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7"/>
    </row>
    <row r="386">
      <c r="A386" s="249"/>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7"/>
    </row>
    <row r="387">
      <c r="A387" s="249"/>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7"/>
    </row>
    <row r="388">
      <c r="A388" s="249"/>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7"/>
    </row>
    <row r="389">
      <c r="A389" s="249"/>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7"/>
    </row>
    <row r="390">
      <c r="A390" s="249"/>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7"/>
    </row>
    <row r="391">
      <c r="A391" s="249"/>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7"/>
    </row>
    <row r="392">
      <c r="A392" s="249"/>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7"/>
    </row>
    <row r="393">
      <c r="A393" s="249"/>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7"/>
    </row>
    <row r="394">
      <c r="A394" s="249"/>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7"/>
    </row>
    <row r="395">
      <c r="A395" s="249"/>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7"/>
    </row>
    <row r="396">
      <c r="A396" s="249"/>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7"/>
    </row>
    <row r="397">
      <c r="A397" s="249"/>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7"/>
    </row>
    <row r="398">
      <c r="A398" s="249"/>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7"/>
    </row>
    <row r="399">
      <c r="A399" s="249"/>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7"/>
    </row>
    <row r="400">
      <c r="A400" s="249"/>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7"/>
    </row>
    <row r="401">
      <c r="A401" s="249"/>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7"/>
    </row>
    <row r="402">
      <c r="A402" s="249"/>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7"/>
    </row>
    <row r="403">
      <c r="A403" s="249"/>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7"/>
    </row>
    <row r="404">
      <c r="A404" s="249"/>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7"/>
    </row>
    <row r="405">
      <c r="A405" s="249"/>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7"/>
    </row>
    <row r="406">
      <c r="A406" s="249"/>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7"/>
    </row>
    <row r="407">
      <c r="A407" s="249"/>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7"/>
    </row>
    <row r="408">
      <c r="A408" s="249"/>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7"/>
    </row>
    <row r="409">
      <c r="A409" s="249"/>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7"/>
    </row>
    <row r="410">
      <c r="A410" s="249"/>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7"/>
    </row>
    <row r="411">
      <c r="A411" s="249"/>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7"/>
    </row>
    <row r="412">
      <c r="A412" s="249"/>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7"/>
    </row>
    <row r="413">
      <c r="A413" s="249"/>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7"/>
    </row>
    <row r="414">
      <c r="A414" s="249"/>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7"/>
    </row>
    <row r="415">
      <c r="A415" s="249"/>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7"/>
    </row>
    <row r="416">
      <c r="A416" s="249"/>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7"/>
    </row>
    <row r="417">
      <c r="A417" s="249"/>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7"/>
    </row>
    <row r="418">
      <c r="A418" s="249"/>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7"/>
    </row>
    <row r="419">
      <c r="A419" s="249"/>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7"/>
    </row>
    <row r="420">
      <c r="A420" s="249"/>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7"/>
    </row>
    <row r="421">
      <c r="A421" s="249"/>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7"/>
    </row>
    <row r="422">
      <c r="A422" s="249"/>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7"/>
    </row>
    <row r="423">
      <c r="A423" s="249"/>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7"/>
    </row>
    <row r="424">
      <c r="A424" s="249"/>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7"/>
    </row>
    <row r="425">
      <c r="A425" s="249"/>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7"/>
    </row>
    <row r="426">
      <c r="A426" s="249"/>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7"/>
    </row>
    <row r="427">
      <c r="A427" s="249"/>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7"/>
    </row>
    <row r="428">
      <c r="A428" s="249"/>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7"/>
    </row>
    <row r="429">
      <c r="A429" s="249"/>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7"/>
    </row>
    <row r="430">
      <c r="A430" s="249"/>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7"/>
    </row>
    <row r="431">
      <c r="A431" s="249"/>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7"/>
    </row>
    <row r="432">
      <c r="A432" s="249"/>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7"/>
    </row>
    <row r="433">
      <c r="A433" s="249"/>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7"/>
    </row>
    <row r="434">
      <c r="A434" s="249"/>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7"/>
    </row>
    <row r="435">
      <c r="A435" s="249"/>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7"/>
    </row>
    <row r="436">
      <c r="A436" s="249"/>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7"/>
    </row>
    <row r="437">
      <c r="A437" s="249"/>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7"/>
    </row>
    <row r="438">
      <c r="A438" s="249"/>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7"/>
    </row>
    <row r="439">
      <c r="A439" s="249"/>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7"/>
    </row>
    <row r="440">
      <c r="A440" s="249"/>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7"/>
    </row>
    <row r="441">
      <c r="A441" s="249"/>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7"/>
    </row>
    <row r="442">
      <c r="A442" s="249"/>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7"/>
    </row>
    <row r="443">
      <c r="A443" s="249"/>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7"/>
    </row>
    <row r="444">
      <c r="A444" s="249"/>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7"/>
    </row>
    <row r="445">
      <c r="A445" s="249"/>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7"/>
    </row>
    <row r="446">
      <c r="A446" s="249"/>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7"/>
    </row>
    <row r="447">
      <c r="A447" s="249"/>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7"/>
    </row>
    <row r="448">
      <c r="A448" s="249"/>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7"/>
    </row>
    <row r="449">
      <c r="A449" s="249"/>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7"/>
    </row>
    <row r="450">
      <c r="A450" s="249"/>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7"/>
    </row>
    <row r="451">
      <c r="A451" s="249"/>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7"/>
    </row>
    <row r="452">
      <c r="A452" s="249"/>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7"/>
    </row>
    <row r="453">
      <c r="A453" s="249"/>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7"/>
    </row>
    <row r="454">
      <c r="A454" s="249"/>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7"/>
    </row>
    <row r="455">
      <c r="A455" s="249"/>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7"/>
    </row>
    <row r="456">
      <c r="A456" s="249"/>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7"/>
    </row>
    <row r="457">
      <c r="A457" s="249"/>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7"/>
    </row>
    <row r="458">
      <c r="A458" s="249"/>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7"/>
    </row>
    <row r="459">
      <c r="A459" s="249"/>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7"/>
    </row>
    <row r="460">
      <c r="A460" s="249"/>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7"/>
    </row>
    <row r="461">
      <c r="A461" s="249"/>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7"/>
    </row>
    <row r="462">
      <c r="A462" s="249"/>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7"/>
    </row>
    <row r="463">
      <c r="A463" s="249"/>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7"/>
    </row>
    <row r="464">
      <c r="A464" s="249"/>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7"/>
    </row>
    <row r="465">
      <c r="A465" s="249"/>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7"/>
    </row>
    <row r="466">
      <c r="A466" s="249"/>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7"/>
    </row>
    <row r="467">
      <c r="A467" s="249"/>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7"/>
    </row>
    <row r="468">
      <c r="A468" s="249"/>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7"/>
    </row>
    <row r="469">
      <c r="A469" s="249"/>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7"/>
    </row>
    <row r="470">
      <c r="A470" s="249"/>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7"/>
    </row>
    <row r="471">
      <c r="A471" s="249"/>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7"/>
    </row>
    <row r="472">
      <c r="A472" s="249"/>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7"/>
    </row>
    <row r="473">
      <c r="A473" s="249"/>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7"/>
    </row>
    <row r="474">
      <c r="A474" s="249"/>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7"/>
    </row>
    <row r="475">
      <c r="A475" s="249"/>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7"/>
    </row>
    <row r="476">
      <c r="A476" s="249"/>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7"/>
    </row>
    <row r="477">
      <c r="A477" s="249"/>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7"/>
    </row>
    <row r="478">
      <c r="A478" s="249"/>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7"/>
    </row>
    <row r="479">
      <c r="A479" s="249"/>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7"/>
    </row>
    <row r="480">
      <c r="A480" s="249"/>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7"/>
    </row>
    <row r="481">
      <c r="A481" s="249"/>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7"/>
    </row>
    <row r="482">
      <c r="A482" s="249"/>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7"/>
    </row>
    <row r="483">
      <c r="A483" s="249"/>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7"/>
    </row>
    <row r="484">
      <c r="A484" s="249"/>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7"/>
    </row>
    <row r="485">
      <c r="A485" s="249"/>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7"/>
    </row>
    <row r="486">
      <c r="A486" s="249"/>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7"/>
    </row>
    <row r="487">
      <c r="A487" s="249"/>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7"/>
    </row>
    <row r="488">
      <c r="A488" s="249"/>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7"/>
    </row>
    <row r="489">
      <c r="A489" s="249"/>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7"/>
    </row>
    <row r="490">
      <c r="A490" s="249"/>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7"/>
    </row>
    <row r="491">
      <c r="A491" s="249"/>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7"/>
    </row>
    <row r="492">
      <c r="A492" s="249"/>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7"/>
    </row>
    <row r="493">
      <c r="A493" s="249"/>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7"/>
    </row>
    <row r="494">
      <c r="A494" s="249"/>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7"/>
    </row>
    <row r="495">
      <c r="A495" s="249"/>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7"/>
    </row>
    <row r="496">
      <c r="A496" s="249"/>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7"/>
    </row>
    <row r="497">
      <c r="A497" s="249"/>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7"/>
    </row>
    <row r="498">
      <c r="A498" s="249"/>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7"/>
    </row>
    <row r="499">
      <c r="A499" s="249"/>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7"/>
    </row>
    <row r="500">
      <c r="A500" s="249"/>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7"/>
    </row>
    <row r="501">
      <c r="A501" s="249"/>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7"/>
    </row>
    <row r="502">
      <c r="A502" s="249"/>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7"/>
    </row>
    <row r="503">
      <c r="A503" s="249"/>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7"/>
    </row>
    <row r="504">
      <c r="A504" s="249"/>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7"/>
    </row>
    <row r="505">
      <c r="A505" s="249"/>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7"/>
    </row>
    <row r="506">
      <c r="A506" s="249"/>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7"/>
    </row>
    <row r="507">
      <c r="A507" s="249"/>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7"/>
    </row>
    <row r="508">
      <c r="A508" s="249"/>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7"/>
    </row>
    <row r="509">
      <c r="A509" s="249"/>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7"/>
    </row>
    <row r="510">
      <c r="A510" s="249"/>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7"/>
    </row>
    <row r="511">
      <c r="A511" s="249"/>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7"/>
    </row>
    <row r="512">
      <c r="A512" s="249"/>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7"/>
    </row>
    <row r="513">
      <c r="A513" s="249"/>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7"/>
    </row>
    <row r="514">
      <c r="A514" s="249"/>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7"/>
    </row>
    <row r="515">
      <c r="A515" s="249"/>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7"/>
    </row>
    <row r="516">
      <c r="A516" s="249"/>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7"/>
    </row>
    <row r="517">
      <c r="A517" s="249"/>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7"/>
    </row>
    <row r="518">
      <c r="A518" s="249"/>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7"/>
    </row>
    <row r="519">
      <c r="A519" s="249"/>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7"/>
    </row>
    <row r="520">
      <c r="A520" s="249"/>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7"/>
    </row>
    <row r="521">
      <c r="A521" s="249"/>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7"/>
    </row>
    <row r="522">
      <c r="A522" s="249"/>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7"/>
    </row>
    <row r="523">
      <c r="A523" s="249"/>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7"/>
    </row>
    <row r="524">
      <c r="A524" s="249"/>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7"/>
    </row>
    <row r="525">
      <c r="A525" s="249"/>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7"/>
    </row>
    <row r="526">
      <c r="A526" s="249"/>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7"/>
    </row>
    <row r="527">
      <c r="A527" s="249"/>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7"/>
    </row>
    <row r="528">
      <c r="A528" s="249"/>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7"/>
    </row>
    <row r="529">
      <c r="A529" s="249"/>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7"/>
    </row>
    <row r="530">
      <c r="A530" s="249"/>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7"/>
    </row>
    <row r="531">
      <c r="A531" s="249"/>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7"/>
    </row>
    <row r="532">
      <c r="A532" s="249"/>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7"/>
    </row>
    <row r="533">
      <c r="A533" s="249"/>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7"/>
    </row>
    <row r="534">
      <c r="A534" s="249"/>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7"/>
    </row>
    <row r="535">
      <c r="A535" s="249"/>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7"/>
    </row>
    <row r="536">
      <c r="A536" s="249"/>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7"/>
    </row>
    <row r="537">
      <c r="A537" s="249"/>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7"/>
    </row>
    <row r="538">
      <c r="A538" s="249"/>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7"/>
    </row>
    <row r="539">
      <c r="A539" s="249"/>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7"/>
    </row>
    <row r="540">
      <c r="A540" s="249"/>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7"/>
    </row>
    <row r="541">
      <c r="A541" s="249"/>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7"/>
    </row>
    <row r="542">
      <c r="A542" s="249"/>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7"/>
    </row>
    <row r="543">
      <c r="A543" s="249"/>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7"/>
    </row>
    <row r="544">
      <c r="A544" s="249"/>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7"/>
    </row>
    <row r="545">
      <c r="A545" s="249"/>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7"/>
    </row>
    <row r="546">
      <c r="A546" s="249"/>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7"/>
    </row>
    <row r="547">
      <c r="A547" s="249"/>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7"/>
    </row>
    <row r="548">
      <c r="A548" s="249"/>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7"/>
    </row>
    <row r="549">
      <c r="A549" s="249"/>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7"/>
    </row>
    <row r="550">
      <c r="A550" s="249"/>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7"/>
    </row>
    <row r="551">
      <c r="A551" s="249"/>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7"/>
    </row>
    <row r="552">
      <c r="A552" s="249"/>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7"/>
    </row>
    <row r="553">
      <c r="A553" s="249"/>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7"/>
    </row>
    <row r="554">
      <c r="A554" s="249"/>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7"/>
    </row>
    <row r="555">
      <c r="A555" s="249"/>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7"/>
    </row>
    <row r="556">
      <c r="A556" s="249"/>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7"/>
    </row>
    <row r="557">
      <c r="A557" s="249"/>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7"/>
    </row>
    <row r="558">
      <c r="A558" s="249"/>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7"/>
    </row>
    <row r="559">
      <c r="A559" s="249"/>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7"/>
    </row>
    <row r="560">
      <c r="A560" s="249"/>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7"/>
    </row>
    <row r="561">
      <c r="A561" s="249"/>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7"/>
    </row>
    <row r="562">
      <c r="A562" s="249"/>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7"/>
    </row>
    <row r="563">
      <c r="A563" s="249"/>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7"/>
    </row>
    <row r="564">
      <c r="A564" s="249"/>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7"/>
    </row>
    <row r="565">
      <c r="A565" s="249"/>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7"/>
    </row>
    <row r="566">
      <c r="A566" s="249"/>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7"/>
    </row>
    <row r="567">
      <c r="A567" s="249"/>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7"/>
    </row>
    <row r="568">
      <c r="A568" s="249"/>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7"/>
    </row>
    <row r="569">
      <c r="A569" s="249"/>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7"/>
    </row>
    <row r="570">
      <c r="A570" s="249"/>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7"/>
    </row>
    <row r="571">
      <c r="A571" s="249"/>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7"/>
    </row>
    <row r="572">
      <c r="A572" s="249"/>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7"/>
    </row>
    <row r="573">
      <c r="A573" s="249"/>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7"/>
    </row>
    <row r="574">
      <c r="A574" s="249"/>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7"/>
    </row>
    <row r="575">
      <c r="A575" s="249"/>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7"/>
    </row>
    <row r="576">
      <c r="A576" s="249"/>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7"/>
    </row>
    <row r="577">
      <c r="A577" s="249"/>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7"/>
    </row>
    <row r="578">
      <c r="A578" s="249"/>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7"/>
    </row>
    <row r="579">
      <c r="A579" s="249"/>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7"/>
    </row>
    <row r="580">
      <c r="A580" s="249"/>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7"/>
    </row>
    <row r="581">
      <c r="A581" s="249"/>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7"/>
    </row>
    <row r="582">
      <c r="A582" s="249"/>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7"/>
    </row>
    <row r="583">
      <c r="A583" s="249"/>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7"/>
    </row>
    <row r="584">
      <c r="A584" s="249"/>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7"/>
    </row>
    <row r="585">
      <c r="A585" s="249"/>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7"/>
    </row>
    <row r="586">
      <c r="A586" s="249"/>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7"/>
    </row>
    <row r="587">
      <c r="A587" s="249"/>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7"/>
    </row>
    <row r="588">
      <c r="A588" s="249"/>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7"/>
    </row>
    <row r="589">
      <c r="A589" s="249"/>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7"/>
    </row>
    <row r="590">
      <c r="A590" s="249"/>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7"/>
    </row>
    <row r="591">
      <c r="A591" s="249"/>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7"/>
    </row>
    <row r="592">
      <c r="A592" s="249"/>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7"/>
    </row>
    <row r="593">
      <c r="A593" s="249"/>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7"/>
    </row>
    <row r="594">
      <c r="A594" s="249"/>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7"/>
    </row>
    <row r="595">
      <c r="A595" s="249"/>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7"/>
    </row>
    <row r="596">
      <c r="A596" s="249"/>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7"/>
    </row>
    <row r="597">
      <c r="A597" s="249"/>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7"/>
    </row>
    <row r="598">
      <c r="A598" s="249"/>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7"/>
    </row>
    <row r="599">
      <c r="A599" s="249"/>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7"/>
    </row>
    <row r="600">
      <c r="A600" s="249"/>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7"/>
    </row>
    <row r="601">
      <c r="A601" s="249"/>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7"/>
    </row>
    <row r="602">
      <c r="A602" s="249"/>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7"/>
    </row>
    <row r="603">
      <c r="A603" s="249"/>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7"/>
    </row>
    <row r="604">
      <c r="A604" s="249"/>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7"/>
    </row>
    <row r="605">
      <c r="A605" s="249"/>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7"/>
    </row>
    <row r="606">
      <c r="A606" s="249"/>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7"/>
    </row>
    <row r="607">
      <c r="A607" s="249"/>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7"/>
    </row>
    <row r="608">
      <c r="A608" s="249"/>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7"/>
    </row>
    <row r="609">
      <c r="A609" s="249"/>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7"/>
    </row>
    <row r="610">
      <c r="A610" s="249"/>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7"/>
    </row>
    <row r="611">
      <c r="A611" s="249"/>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7"/>
    </row>
    <row r="612">
      <c r="A612" s="249"/>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7"/>
    </row>
    <row r="613">
      <c r="A613" s="249"/>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7"/>
    </row>
    <row r="614">
      <c r="A614" s="249"/>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7"/>
    </row>
    <row r="615">
      <c r="A615" s="249"/>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7"/>
    </row>
    <row r="616">
      <c r="A616" s="249"/>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7"/>
    </row>
    <row r="617">
      <c r="A617" s="249"/>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7"/>
    </row>
    <row r="618">
      <c r="A618" s="249"/>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7"/>
    </row>
    <row r="619">
      <c r="A619" s="249"/>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7"/>
    </row>
    <row r="620">
      <c r="A620" s="249"/>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7"/>
    </row>
    <row r="621">
      <c r="A621" s="249"/>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7"/>
    </row>
    <row r="622">
      <c r="A622" s="249"/>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7"/>
    </row>
    <row r="623">
      <c r="A623" s="249"/>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7"/>
    </row>
    <row r="624">
      <c r="A624" s="249"/>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7"/>
    </row>
    <row r="625">
      <c r="A625" s="249"/>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7"/>
    </row>
    <row r="626">
      <c r="A626" s="249"/>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7"/>
    </row>
    <row r="627">
      <c r="A627" s="249"/>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7"/>
    </row>
    <row r="628">
      <c r="A628" s="249"/>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7"/>
    </row>
    <row r="629">
      <c r="A629" s="249"/>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7"/>
    </row>
    <row r="630">
      <c r="A630" s="249"/>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7"/>
    </row>
    <row r="631">
      <c r="A631" s="249"/>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7"/>
    </row>
    <row r="632">
      <c r="A632" s="249"/>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7"/>
    </row>
    <row r="633">
      <c r="A633" s="249"/>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7"/>
    </row>
    <row r="634">
      <c r="A634" s="249"/>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7"/>
    </row>
    <row r="635">
      <c r="A635" s="249"/>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7"/>
    </row>
    <row r="636">
      <c r="A636" s="249"/>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7"/>
    </row>
    <row r="637">
      <c r="A637" s="249"/>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7"/>
    </row>
    <row r="638">
      <c r="A638" s="249"/>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7"/>
    </row>
    <row r="639">
      <c r="A639" s="249"/>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7"/>
    </row>
    <row r="640">
      <c r="A640" s="249"/>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7"/>
    </row>
    <row r="641">
      <c r="A641" s="249"/>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7"/>
    </row>
    <row r="642">
      <c r="A642" s="249"/>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7"/>
    </row>
    <row r="643">
      <c r="A643" s="249"/>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7"/>
    </row>
    <row r="644">
      <c r="A644" s="249"/>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7"/>
    </row>
    <row r="645">
      <c r="A645" s="249"/>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7"/>
    </row>
    <row r="646">
      <c r="A646" s="249"/>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7"/>
    </row>
    <row r="647">
      <c r="A647" s="249"/>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7"/>
    </row>
    <row r="648">
      <c r="A648" s="249"/>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7"/>
    </row>
    <row r="649">
      <c r="A649" s="249"/>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7"/>
    </row>
    <row r="650">
      <c r="A650" s="249"/>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7"/>
    </row>
    <row r="651">
      <c r="A651" s="249"/>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7"/>
    </row>
    <row r="652">
      <c r="A652" s="249"/>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7"/>
    </row>
    <row r="653">
      <c r="A653" s="249"/>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7"/>
    </row>
    <row r="654">
      <c r="A654" s="249"/>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7"/>
    </row>
    <row r="655">
      <c r="A655" s="249"/>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7"/>
    </row>
    <row r="656">
      <c r="A656" s="249"/>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7"/>
    </row>
    <row r="657">
      <c r="A657" s="249"/>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7"/>
    </row>
    <row r="658">
      <c r="A658" s="249"/>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7"/>
    </row>
    <row r="659">
      <c r="A659" s="249"/>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7"/>
    </row>
    <row r="660">
      <c r="A660" s="249"/>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7"/>
    </row>
    <row r="661">
      <c r="A661" s="249"/>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7"/>
    </row>
    <row r="662">
      <c r="A662" s="249"/>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7"/>
    </row>
    <row r="663">
      <c r="A663" s="249"/>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7"/>
    </row>
    <row r="664">
      <c r="A664" s="249"/>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7"/>
    </row>
    <row r="665">
      <c r="A665" s="249"/>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7"/>
    </row>
    <row r="666">
      <c r="A666" s="249"/>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7"/>
    </row>
    <row r="667">
      <c r="A667" s="249"/>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7"/>
    </row>
    <row r="668">
      <c r="A668" s="249"/>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7"/>
    </row>
    <row r="669">
      <c r="A669" s="249"/>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7"/>
    </row>
    <row r="670">
      <c r="A670" s="249"/>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7"/>
    </row>
    <row r="671">
      <c r="A671" s="249"/>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7"/>
    </row>
    <row r="672">
      <c r="A672" s="249"/>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7"/>
    </row>
    <row r="673">
      <c r="A673" s="249"/>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7"/>
    </row>
    <row r="674">
      <c r="A674" s="249"/>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7"/>
    </row>
    <row r="675">
      <c r="A675" s="249"/>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7"/>
    </row>
    <row r="676">
      <c r="A676" s="249"/>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7"/>
    </row>
    <row r="677">
      <c r="A677" s="249"/>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7"/>
    </row>
    <row r="678">
      <c r="A678" s="249"/>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7"/>
    </row>
    <row r="679">
      <c r="A679" s="249"/>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7"/>
    </row>
    <row r="680">
      <c r="A680" s="249"/>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7"/>
    </row>
    <row r="681">
      <c r="A681" s="249"/>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7"/>
    </row>
    <row r="682">
      <c r="A682" s="249"/>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7"/>
    </row>
    <row r="683">
      <c r="A683" s="249"/>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7"/>
    </row>
    <row r="684">
      <c r="A684" s="249"/>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7"/>
    </row>
    <row r="685">
      <c r="A685" s="249"/>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7"/>
    </row>
    <row r="686">
      <c r="A686" s="249"/>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7"/>
    </row>
    <row r="687">
      <c r="A687" s="249"/>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7"/>
    </row>
    <row r="688">
      <c r="A688" s="249"/>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7"/>
    </row>
    <row r="689">
      <c r="A689" s="249"/>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7"/>
    </row>
    <row r="690">
      <c r="A690" s="249"/>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7"/>
    </row>
    <row r="691">
      <c r="A691" s="249"/>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7"/>
    </row>
    <row r="692">
      <c r="A692" s="249"/>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7"/>
    </row>
    <row r="693">
      <c r="A693" s="249"/>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7"/>
    </row>
    <row r="694">
      <c r="A694" s="249"/>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7"/>
    </row>
    <row r="695">
      <c r="A695" s="249"/>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7"/>
    </row>
    <row r="696">
      <c r="A696" s="249"/>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7"/>
    </row>
    <row r="697">
      <c r="A697" s="249"/>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7"/>
    </row>
    <row r="698">
      <c r="A698" s="249"/>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7"/>
    </row>
    <row r="699">
      <c r="A699" s="249"/>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7"/>
    </row>
    <row r="700">
      <c r="A700" s="249"/>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7"/>
    </row>
    <row r="701">
      <c r="A701" s="249"/>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7"/>
    </row>
    <row r="702">
      <c r="A702" s="249"/>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7"/>
    </row>
    <row r="703">
      <c r="A703" s="249"/>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7"/>
    </row>
    <row r="704">
      <c r="A704" s="249"/>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7"/>
    </row>
    <row r="705">
      <c r="A705" s="249"/>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7"/>
    </row>
    <row r="706">
      <c r="A706" s="249"/>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7"/>
    </row>
    <row r="707">
      <c r="A707" s="249"/>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7"/>
    </row>
    <row r="708">
      <c r="A708" s="249"/>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7"/>
    </row>
    <row r="709">
      <c r="A709" s="249"/>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7"/>
    </row>
    <row r="710">
      <c r="A710" s="249"/>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7"/>
    </row>
    <row r="711">
      <c r="A711" s="249"/>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7"/>
    </row>
    <row r="712">
      <c r="A712" s="249"/>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7"/>
    </row>
    <row r="713">
      <c r="A713" s="249"/>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7"/>
    </row>
    <row r="714">
      <c r="A714" s="249"/>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7"/>
    </row>
    <row r="715">
      <c r="A715" s="249"/>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7"/>
    </row>
    <row r="716">
      <c r="A716" s="249"/>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7"/>
    </row>
    <row r="717">
      <c r="A717" s="249"/>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7"/>
    </row>
    <row r="718">
      <c r="A718" s="249"/>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7"/>
    </row>
    <row r="719">
      <c r="A719" s="249"/>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7"/>
    </row>
    <row r="720">
      <c r="A720" s="249"/>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7"/>
    </row>
    <row r="721">
      <c r="A721" s="249"/>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7"/>
    </row>
    <row r="722">
      <c r="A722" s="249"/>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7"/>
    </row>
    <row r="723">
      <c r="A723" s="249"/>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7"/>
    </row>
    <row r="724">
      <c r="A724" s="249"/>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7"/>
    </row>
    <row r="725">
      <c r="A725" s="249"/>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7"/>
    </row>
    <row r="726">
      <c r="A726" s="249"/>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7"/>
    </row>
    <row r="727">
      <c r="A727" s="249"/>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7"/>
    </row>
    <row r="728">
      <c r="A728" s="249"/>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7"/>
    </row>
    <row r="729">
      <c r="A729" s="249"/>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7"/>
    </row>
    <row r="730">
      <c r="A730" s="249"/>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7"/>
    </row>
    <row r="731">
      <c r="A731" s="249"/>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7"/>
    </row>
    <row r="732">
      <c r="A732" s="249"/>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7"/>
    </row>
    <row r="733">
      <c r="A733" s="249"/>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7"/>
    </row>
    <row r="734">
      <c r="A734" s="249"/>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7"/>
    </row>
    <row r="735">
      <c r="A735" s="249"/>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7"/>
    </row>
    <row r="736">
      <c r="A736" s="249"/>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7"/>
    </row>
    <row r="737">
      <c r="A737" s="249"/>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7"/>
    </row>
    <row r="738">
      <c r="A738" s="249"/>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7"/>
    </row>
    <row r="739">
      <c r="A739" s="249"/>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7"/>
    </row>
    <row r="740">
      <c r="A740" s="249"/>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7"/>
    </row>
    <row r="741">
      <c r="A741" s="249"/>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7"/>
    </row>
    <row r="742">
      <c r="A742" s="249"/>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7"/>
    </row>
    <row r="743">
      <c r="A743" s="249"/>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7"/>
    </row>
    <row r="744">
      <c r="A744" s="249"/>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7"/>
    </row>
    <row r="745">
      <c r="A745" s="249"/>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7"/>
    </row>
    <row r="746">
      <c r="A746" s="249"/>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7"/>
    </row>
    <row r="747">
      <c r="A747" s="249"/>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7"/>
    </row>
    <row r="748">
      <c r="A748" s="249"/>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7"/>
    </row>
    <row r="749">
      <c r="A749" s="249"/>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7"/>
    </row>
    <row r="750">
      <c r="A750" s="249"/>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7"/>
    </row>
    <row r="751">
      <c r="A751" s="249"/>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7"/>
    </row>
    <row r="752">
      <c r="A752" s="249"/>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7"/>
    </row>
    <row r="753">
      <c r="A753" s="249"/>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7"/>
    </row>
    <row r="754">
      <c r="A754" s="249"/>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7"/>
    </row>
    <row r="755">
      <c r="A755" s="249"/>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7"/>
    </row>
    <row r="756">
      <c r="A756" s="249"/>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7"/>
    </row>
    <row r="757">
      <c r="A757" s="249"/>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7"/>
    </row>
    <row r="758">
      <c r="A758" s="249"/>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7"/>
    </row>
    <row r="759">
      <c r="A759" s="249"/>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7"/>
    </row>
    <row r="760">
      <c r="A760" s="249"/>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7"/>
    </row>
    <row r="761">
      <c r="A761" s="249"/>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7"/>
    </row>
    <row r="762">
      <c r="A762" s="249"/>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7"/>
    </row>
    <row r="763">
      <c r="A763" s="249"/>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7"/>
    </row>
    <row r="764">
      <c r="A764" s="249"/>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7"/>
    </row>
    <row r="765">
      <c r="A765" s="249"/>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7"/>
    </row>
    <row r="766">
      <c r="A766" s="249"/>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7"/>
    </row>
    <row r="767">
      <c r="A767" s="249"/>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7"/>
    </row>
    <row r="768">
      <c r="A768" s="249"/>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7"/>
    </row>
    <row r="769">
      <c r="A769" s="249"/>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7"/>
    </row>
    <row r="770">
      <c r="A770" s="249"/>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7"/>
    </row>
    <row r="771">
      <c r="A771" s="249"/>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7"/>
    </row>
    <row r="772">
      <c r="A772" s="249"/>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7"/>
    </row>
    <row r="773">
      <c r="A773" s="249"/>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7"/>
    </row>
    <row r="774">
      <c r="A774" s="249"/>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7"/>
    </row>
    <row r="775">
      <c r="A775" s="249"/>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7"/>
    </row>
    <row r="776">
      <c r="A776" s="249"/>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7"/>
    </row>
    <row r="777">
      <c r="A777" s="249"/>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7"/>
    </row>
    <row r="778">
      <c r="A778" s="249"/>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7"/>
    </row>
    <row r="779">
      <c r="A779" s="249"/>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7"/>
    </row>
    <row r="780">
      <c r="A780" s="249"/>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7"/>
    </row>
    <row r="781">
      <c r="A781" s="249"/>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7"/>
    </row>
    <row r="782">
      <c r="A782" s="249"/>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7"/>
    </row>
    <row r="783">
      <c r="A783" s="249"/>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7"/>
    </row>
    <row r="784">
      <c r="A784" s="249"/>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7"/>
    </row>
    <row r="785">
      <c r="A785" s="249"/>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7"/>
    </row>
    <row r="786">
      <c r="A786" s="249"/>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7"/>
    </row>
    <row r="787">
      <c r="A787" s="249"/>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7"/>
    </row>
    <row r="788">
      <c r="A788" s="249"/>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7"/>
    </row>
    <row r="789">
      <c r="A789" s="249"/>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7"/>
    </row>
    <row r="790">
      <c r="A790" s="249"/>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7"/>
    </row>
    <row r="791">
      <c r="A791" s="249"/>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7"/>
    </row>
    <row r="792">
      <c r="A792" s="249"/>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7"/>
    </row>
    <row r="793">
      <c r="A793" s="249"/>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7"/>
    </row>
    <row r="794">
      <c r="A794" s="249"/>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7"/>
    </row>
    <row r="795">
      <c r="A795" s="249"/>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7"/>
    </row>
    <row r="796">
      <c r="A796" s="249"/>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7"/>
    </row>
    <row r="797">
      <c r="A797" s="249"/>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7"/>
    </row>
    <row r="798">
      <c r="A798" s="249"/>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7"/>
    </row>
    <row r="799">
      <c r="A799" s="249"/>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7"/>
    </row>
    <row r="800">
      <c r="A800" s="249"/>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7"/>
    </row>
    <row r="801">
      <c r="A801" s="249"/>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7"/>
    </row>
    <row r="802">
      <c r="A802" s="249"/>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7"/>
    </row>
    <row r="803">
      <c r="A803" s="249"/>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7"/>
    </row>
    <row r="804">
      <c r="A804" s="249"/>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7"/>
    </row>
    <row r="805">
      <c r="A805" s="249"/>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7"/>
    </row>
    <row r="806">
      <c r="A806" s="249"/>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7"/>
    </row>
    <row r="807">
      <c r="A807" s="249"/>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7"/>
    </row>
    <row r="808">
      <c r="A808" s="249"/>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7"/>
    </row>
    <row r="809">
      <c r="A809" s="249"/>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7"/>
    </row>
    <row r="810">
      <c r="A810" s="249"/>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7"/>
    </row>
    <row r="811">
      <c r="A811" s="249"/>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7"/>
    </row>
    <row r="812">
      <c r="A812" s="249"/>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7"/>
    </row>
    <row r="813">
      <c r="A813" s="249"/>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7"/>
    </row>
    <row r="814">
      <c r="A814" s="249"/>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7"/>
    </row>
    <row r="815">
      <c r="A815" s="249"/>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7"/>
    </row>
    <row r="816">
      <c r="A816" s="249"/>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7"/>
    </row>
    <row r="817">
      <c r="A817" s="249"/>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7"/>
    </row>
    <row r="818">
      <c r="A818" s="249"/>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7"/>
    </row>
    <row r="819">
      <c r="A819" s="249"/>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7"/>
    </row>
    <row r="820">
      <c r="A820" s="249"/>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7"/>
    </row>
    <row r="821">
      <c r="A821" s="249"/>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7"/>
    </row>
    <row r="822">
      <c r="A822" s="249"/>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7"/>
    </row>
    <row r="823">
      <c r="A823" s="249"/>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7"/>
    </row>
    <row r="824">
      <c r="A824" s="249"/>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7"/>
    </row>
    <row r="825">
      <c r="A825" s="249"/>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7"/>
    </row>
    <row r="826">
      <c r="A826" s="249"/>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7"/>
    </row>
    <row r="827">
      <c r="A827" s="249"/>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7"/>
    </row>
    <row r="828">
      <c r="A828" s="249"/>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7"/>
    </row>
    <row r="829">
      <c r="A829" s="249"/>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7"/>
    </row>
    <row r="830">
      <c r="A830" s="249"/>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7"/>
    </row>
    <row r="831">
      <c r="A831" s="249"/>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7"/>
    </row>
    <row r="832">
      <c r="A832" s="249"/>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7"/>
    </row>
    <row r="833">
      <c r="A833" s="249"/>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7"/>
    </row>
    <row r="834">
      <c r="A834" s="249"/>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7"/>
    </row>
    <row r="835">
      <c r="A835" s="249"/>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7"/>
    </row>
    <row r="836">
      <c r="A836" s="249"/>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7"/>
    </row>
    <row r="837">
      <c r="A837" s="249"/>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7"/>
    </row>
    <row r="838">
      <c r="A838" s="249"/>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7"/>
    </row>
    <row r="839">
      <c r="A839" s="249"/>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7"/>
    </row>
    <row r="840">
      <c r="A840" s="249"/>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7"/>
    </row>
    <row r="841">
      <c r="A841" s="249"/>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7"/>
    </row>
    <row r="842">
      <c r="A842" s="249"/>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7"/>
    </row>
    <row r="843">
      <c r="A843" s="249"/>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7"/>
    </row>
    <row r="844">
      <c r="A844" s="249"/>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7"/>
    </row>
    <row r="845">
      <c r="A845" s="249"/>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7"/>
    </row>
    <row r="846">
      <c r="A846" s="249"/>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7"/>
    </row>
    <row r="847">
      <c r="A847" s="249"/>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7"/>
    </row>
    <row r="848">
      <c r="A848" s="249"/>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7"/>
    </row>
    <row r="849">
      <c r="A849" s="249"/>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7"/>
    </row>
    <row r="850">
      <c r="A850" s="249"/>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7"/>
    </row>
    <row r="851">
      <c r="A851" s="249"/>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7"/>
    </row>
    <row r="852">
      <c r="A852" s="249"/>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7"/>
    </row>
    <row r="853">
      <c r="A853" s="249"/>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7"/>
    </row>
    <row r="854">
      <c r="A854" s="249"/>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7"/>
    </row>
    <row r="855">
      <c r="A855" s="249"/>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7"/>
    </row>
    <row r="856">
      <c r="A856" s="249"/>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7"/>
    </row>
    <row r="857">
      <c r="A857" s="249"/>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7"/>
    </row>
    <row r="858">
      <c r="A858" s="249"/>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7"/>
    </row>
    <row r="859">
      <c r="A859" s="249"/>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7"/>
    </row>
    <row r="860">
      <c r="A860" s="249"/>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7"/>
    </row>
    <row r="861">
      <c r="A861" s="249"/>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7"/>
    </row>
    <row r="862">
      <c r="A862" s="249"/>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7"/>
    </row>
    <row r="863">
      <c r="A863" s="249"/>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7"/>
    </row>
    <row r="864">
      <c r="A864" s="249"/>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7"/>
    </row>
    <row r="865">
      <c r="A865" s="249"/>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7"/>
    </row>
    <row r="866">
      <c r="A866" s="249"/>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7"/>
    </row>
    <row r="867">
      <c r="A867" s="249"/>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7"/>
    </row>
    <row r="868">
      <c r="A868" s="249"/>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7"/>
    </row>
    <row r="869">
      <c r="A869" s="249"/>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7"/>
    </row>
    <row r="870">
      <c r="A870" s="249"/>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7"/>
    </row>
    <row r="871">
      <c r="A871" s="249"/>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7"/>
    </row>
    <row r="872">
      <c r="A872" s="249"/>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7"/>
    </row>
    <row r="873">
      <c r="A873" s="249"/>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7"/>
    </row>
    <row r="874">
      <c r="A874" s="249"/>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7"/>
    </row>
    <row r="875">
      <c r="A875" s="249"/>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7"/>
    </row>
    <row r="876">
      <c r="A876" s="249"/>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7"/>
    </row>
    <row r="877">
      <c r="A877" s="249"/>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7"/>
    </row>
    <row r="878">
      <c r="A878" s="249"/>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7"/>
    </row>
    <row r="879">
      <c r="A879" s="249"/>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7"/>
    </row>
    <row r="880">
      <c r="A880" s="249"/>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7"/>
    </row>
    <row r="881">
      <c r="A881" s="249"/>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7"/>
    </row>
    <row r="882">
      <c r="A882" s="249"/>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7"/>
    </row>
    <row r="883">
      <c r="A883" s="249"/>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7"/>
    </row>
    <row r="884">
      <c r="A884" s="249"/>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7"/>
    </row>
    <row r="885">
      <c r="A885" s="249"/>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7"/>
    </row>
    <row r="886">
      <c r="A886" s="249"/>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7"/>
    </row>
    <row r="887">
      <c r="A887" s="249"/>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7"/>
    </row>
    <row r="888">
      <c r="A888" s="249"/>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7"/>
    </row>
    <row r="889">
      <c r="A889" s="249"/>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7"/>
    </row>
    <row r="890">
      <c r="A890" s="249"/>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7"/>
    </row>
    <row r="891">
      <c r="A891" s="249"/>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7"/>
    </row>
    <row r="892">
      <c r="A892" s="249"/>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7"/>
    </row>
    <row r="893">
      <c r="A893" s="249"/>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7"/>
    </row>
    <row r="894">
      <c r="A894" s="249"/>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7"/>
    </row>
    <row r="895">
      <c r="A895" s="249"/>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7"/>
    </row>
    <row r="896">
      <c r="A896" s="249"/>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7"/>
    </row>
    <row r="897">
      <c r="A897" s="249"/>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7"/>
    </row>
    <row r="898">
      <c r="A898" s="249"/>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7"/>
    </row>
    <row r="899">
      <c r="A899" s="249"/>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7"/>
    </row>
    <row r="900">
      <c r="A900" s="249"/>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7"/>
    </row>
    <row r="901">
      <c r="A901" s="249"/>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7"/>
    </row>
    <row r="902">
      <c r="A902" s="249"/>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7"/>
    </row>
    <row r="903">
      <c r="A903" s="249"/>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7"/>
    </row>
    <row r="904">
      <c r="A904" s="249"/>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7"/>
    </row>
    <row r="905">
      <c r="A905" s="249"/>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7"/>
    </row>
    <row r="906">
      <c r="A906" s="249"/>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7"/>
    </row>
    <row r="907">
      <c r="A907" s="249"/>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7"/>
    </row>
    <row r="908">
      <c r="A908" s="249"/>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7"/>
    </row>
    <row r="909">
      <c r="A909" s="249"/>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7"/>
    </row>
    <row r="910">
      <c r="A910" s="249"/>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7"/>
    </row>
    <row r="911">
      <c r="A911" s="249"/>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7"/>
    </row>
    <row r="912">
      <c r="A912" s="249"/>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7"/>
    </row>
    <row r="913">
      <c r="A913" s="249"/>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7"/>
    </row>
    <row r="914">
      <c r="A914" s="249"/>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7"/>
    </row>
    <row r="915">
      <c r="A915" s="249"/>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7"/>
    </row>
    <row r="916">
      <c r="A916" s="249"/>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7"/>
    </row>
    <row r="917">
      <c r="A917" s="249"/>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7"/>
    </row>
    <row r="918">
      <c r="A918" s="249"/>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7"/>
    </row>
    <row r="919">
      <c r="A919" s="249"/>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7"/>
    </row>
    <row r="920">
      <c r="A920" s="249"/>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7"/>
    </row>
    <row r="921">
      <c r="A921" s="249"/>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7"/>
    </row>
    <row r="922">
      <c r="A922" s="249"/>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7"/>
    </row>
    <row r="923">
      <c r="A923" s="249"/>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7"/>
    </row>
    <row r="924">
      <c r="A924" s="249"/>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7"/>
    </row>
    <row r="925">
      <c r="A925" s="249"/>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7"/>
    </row>
    <row r="926">
      <c r="A926" s="249"/>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7"/>
    </row>
    <row r="927">
      <c r="A927" s="249"/>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7"/>
    </row>
    <row r="928">
      <c r="A928" s="249"/>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7"/>
    </row>
    <row r="929">
      <c r="A929" s="249"/>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7"/>
    </row>
    <row r="930">
      <c r="A930" s="249"/>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7"/>
    </row>
    <row r="931">
      <c r="A931" s="249"/>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7"/>
    </row>
    <row r="932">
      <c r="A932" s="249"/>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7"/>
    </row>
    <row r="933">
      <c r="A933" s="249"/>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7"/>
    </row>
    <row r="934">
      <c r="A934" s="249"/>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7"/>
    </row>
    <row r="935">
      <c r="A935" s="249"/>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7"/>
    </row>
    <row r="936">
      <c r="A936" s="249"/>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7"/>
    </row>
    <row r="937">
      <c r="A937" s="249"/>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7"/>
    </row>
    <row r="938">
      <c r="A938" s="249"/>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7"/>
    </row>
    <row r="939">
      <c r="A939" s="249"/>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7"/>
    </row>
    <row r="940">
      <c r="A940" s="249"/>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7"/>
    </row>
    <row r="941">
      <c r="A941" s="249"/>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7"/>
    </row>
    <row r="942">
      <c r="A942" s="249"/>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7"/>
    </row>
    <row r="943">
      <c r="A943" s="249"/>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7"/>
    </row>
    <row r="944">
      <c r="A944" s="249"/>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7"/>
    </row>
    <row r="945">
      <c r="A945" s="249"/>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7"/>
    </row>
    <row r="946">
      <c r="A946" s="249"/>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7"/>
    </row>
    <row r="947">
      <c r="A947" s="249"/>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7"/>
    </row>
    <row r="948">
      <c r="A948" s="249"/>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7"/>
    </row>
    <row r="949">
      <c r="A949" s="249"/>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7"/>
    </row>
    <row r="950">
      <c r="A950" s="249"/>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7"/>
    </row>
    <row r="951">
      <c r="A951" s="249"/>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7"/>
    </row>
    <row r="952">
      <c r="A952" s="249"/>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7"/>
    </row>
    <row r="953">
      <c r="A953" s="249"/>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7"/>
    </row>
    <row r="954">
      <c r="A954" s="249"/>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7"/>
    </row>
    <row r="955">
      <c r="A955" s="249"/>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7"/>
    </row>
    <row r="956">
      <c r="A956" s="249"/>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7"/>
    </row>
    <row r="957">
      <c r="A957" s="249"/>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7"/>
    </row>
    <row r="958">
      <c r="A958" s="249"/>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7"/>
    </row>
    <row r="959">
      <c r="A959" s="249"/>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7"/>
    </row>
    <row r="960">
      <c r="A960" s="249"/>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7"/>
    </row>
    <row r="961">
      <c r="A961" s="249"/>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7"/>
    </row>
    <row r="962">
      <c r="A962" s="249"/>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7"/>
    </row>
    <row r="963">
      <c r="A963" s="249"/>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7"/>
    </row>
    <row r="964">
      <c r="A964" s="249"/>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7"/>
    </row>
    <row r="965">
      <c r="A965" s="249"/>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7"/>
    </row>
    <row r="966">
      <c r="A966" s="249"/>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7"/>
    </row>
    <row r="967">
      <c r="A967" s="249"/>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7"/>
    </row>
    <row r="968">
      <c r="A968" s="249"/>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7"/>
    </row>
    <row r="969">
      <c r="A969" s="249"/>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7"/>
    </row>
    <row r="970">
      <c r="A970" s="249"/>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7"/>
    </row>
    <row r="971">
      <c r="A971" s="249"/>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7"/>
    </row>
    <row r="972">
      <c r="A972" s="249"/>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7"/>
    </row>
    <row r="973">
      <c r="A973" s="249"/>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7"/>
    </row>
    <row r="974">
      <c r="A974" s="249"/>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7"/>
    </row>
    <row r="975">
      <c r="A975" s="249"/>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7"/>
    </row>
    <row r="976">
      <c r="A976" s="249"/>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7"/>
    </row>
    <row r="977">
      <c r="A977" s="249"/>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7"/>
    </row>
    <row r="978">
      <c r="A978" s="249"/>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7"/>
    </row>
    <row r="979">
      <c r="A979" s="249"/>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7"/>
    </row>
    <row r="980">
      <c r="A980" s="249"/>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7"/>
    </row>
    <row r="981">
      <c r="A981" s="249"/>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7"/>
    </row>
    <row r="982">
      <c r="A982" s="249"/>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7"/>
    </row>
    <row r="983">
      <c r="A983" s="249"/>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7"/>
    </row>
    <row r="984">
      <c r="A984" s="249"/>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7"/>
    </row>
    <row r="985">
      <c r="A985" s="249"/>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7"/>
    </row>
    <row r="986">
      <c r="A986" s="249"/>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7"/>
    </row>
    <row r="987">
      <c r="A987" s="249"/>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7"/>
    </row>
    <row r="988">
      <c r="A988" s="249"/>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7"/>
    </row>
    <row r="989">
      <c r="A989" s="249"/>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7"/>
    </row>
    <row r="990">
      <c r="A990" s="249"/>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7"/>
    </row>
    <row r="991">
      <c r="A991" s="250"/>
      <c r="B991" s="251"/>
      <c r="C991" s="251"/>
      <c r="D991" s="251"/>
      <c r="E991" s="251"/>
      <c r="F991" s="251"/>
      <c r="G991" s="251"/>
      <c r="H991" s="251"/>
      <c r="I991" s="251"/>
      <c r="J991" s="251"/>
      <c r="K991" s="251"/>
      <c r="L991" s="251"/>
      <c r="M991" s="251"/>
      <c r="N991" s="251"/>
      <c r="O991" s="251"/>
      <c r="P991" s="251"/>
      <c r="Q991" s="251"/>
      <c r="R991" s="251"/>
      <c r="S991" s="251"/>
      <c r="T991" s="251"/>
      <c r="U991" s="251"/>
      <c r="V991" s="251"/>
      <c r="W991" s="251"/>
      <c r="X991" s="251"/>
      <c r="Y991" s="251"/>
      <c r="Z991" s="252"/>
    </row>
  </sheetData>
  <mergeCells count="5">
    <mergeCell ref="A1:J1"/>
    <mergeCell ref="A3:A10"/>
    <mergeCell ref="C3:C10"/>
    <mergeCell ref="D3:D10"/>
    <mergeCell ref="G3:G10"/>
  </mergeCells>
  <conditionalFormatting sqref="H3:J10">
    <cfRule type="cellIs" dxfId="6" priority="1" operator="equal">
      <formula>"Open"</formula>
    </cfRule>
  </conditionalFormatting>
  <conditionalFormatting sqref="H3:J10">
    <cfRule type="cellIs" dxfId="7" priority="2" operator="equal">
      <formula>"Closed"</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209</v>
      </c>
    </row>
    <row r="2">
      <c r="A2" s="152" t="s">
        <v>146</v>
      </c>
      <c r="B2" s="153" t="s">
        <v>147</v>
      </c>
      <c r="C2" s="152" t="s">
        <v>148</v>
      </c>
      <c r="D2" s="152" t="s">
        <v>149</v>
      </c>
      <c r="E2" s="153" t="s">
        <v>150</v>
      </c>
      <c r="F2" s="154" t="s">
        <v>112</v>
      </c>
      <c r="G2" s="153" t="s">
        <v>151</v>
      </c>
      <c r="H2" s="153" t="s">
        <v>173</v>
      </c>
      <c r="I2" s="153" t="s">
        <v>113</v>
      </c>
      <c r="J2" s="153" t="s">
        <v>154</v>
      </c>
    </row>
    <row r="3">
      <c r="A3" s="51"/>
      <c r="B3" s="155">
        <v>45740.0</v>
      </c>
      <c r="C3" s="51" t="s">
        <v>46</v>
      </c>
      <c r="D3" s="51">
        <v>5246.0</v>
      </c>
      <c r="E3" s="150">
        <v>5246.0</v>
      </c>
      <c r="F3" s="150">
        <f>D3-E3</f>
        <v>0</v>
      </c>
      <c r="G3" s="156">
        <v>7600.0</v>
      </c>
      <c r="H3" s="158">
        <f>IF(E3="","",(SUM($G$3*E3)))</f>
        <v>39869600</v>
      </c>
      <c r="I3" s="158">
        <f>F3*G3</f>
        <v>0</v>
      </c>
      <c r="J3" s="159" t="str">
        <f>IF(OR(D3="",E3=""),"",IF(F3&lt;=0,"Closed","Open"))</f>
        <v>Closed</v>
      </c>
    </row>
    <row r="4">
      <c r="A4" s="94"/>
      <c r="B4" s="160"/>
      <c r="C4" s="94"/>
      <c r="D4" s="94"/>
      <c r="E4" s="161"/>
      <c r="F4" s="161"/>
      <c r="G4" s="94"/>
      <c r="H4" s="166" t="str">
        <f t="shared" ref="H4:H10" si="1">IF(E4="","",(SUM(#REF!*E4)))</f>
        <v/>
      </c>
      <c r="I4" s="166" t="str">
        <f>IF(F4="","",(SUM(G3*F4)))</f>
        <v/>
      </c>
      <c r="J4" s="164" t="str">
        <f t="shared" ref="J4:J10" si="2">IF(OR(F4="",E4=""),"",IF(F4&lt;=0,"Closed","Open"))</f>
        <v/>
      </c>
    </row>
    <row r="5">
      <c r="A5" s="61"/>
      <c r="B5" s="155"/>
      <c r="C5" s="61"/>
      <c r="D5" s="61"/>
      <c r="E5" s="150"/>
      <c r="F5" s="150"/>
      <c r="G5" s="61"/>
      <c r="H5" s="168" t="str">
        <f t="shared" si="1"/>
        <v/>
      </c>
      <c r="I5" s="168" t="str">
        <f>IF(F5="","",(SUM(G3*F5)))</f>
        <v/>
      </c>
      <c r="J5" s="159" t="str">
        <f t="shared" si="2"/>
        <v/>
      </c>
    </row>
    <row r="6">
      <c r="A6" s="94"/>
      <c r="B6" s="160"/>
      <c r="C6" s="94"/>
      <c r="D6" s="94"/>
      <c r="E6" s="161"/>
      <c r="F6" s="161"/>
      <c r="G6" s="94"/>
      <c r="H6" s="166" t="str">
        <f t="shared" si="1"/>
        <v/>
      </c>
      <c r="I6" s="166" t="str">
        <f>IF(F6="","",(SUM(G3*F6)))</f>
        <v/>
      </c>
      <c r="J6" s="164" t="str">
        <f t="shared" si="2"/>
        <v/>
      </c>
    </row>
    <row r="7">
      <c r="A7" s="61"/>
      <c r="B7" s="155"/>
      <c r="C7" s="61"/>
      <c r="D7" s="61"/>
      <c r="E7" s="150"/>
      <c r="F7" s="150"/>
      <c r="G7" s="61"/>
      <c r="H7" s="168" t="str">
        <f t="shared" si="1"/>
        <v/>
      </c>
      <c r="I7" s="168" t="str">
        <f>IF(F7="","",(SUM(G3*F7)))</f>
        <v/>
      </c>
      <c r="J7" s="159" t="str">
        <f t="shared" si="2"/>
        <v/>
      </c>
    </row>
    <row r="8">
      <c r="A8" s="94"/>
      <c r="B8" s="160"/>
      <c r="C8" s="94"/>
      <c r="D8" s="94"/>
      <c r="E8" s="161"/>
      <c r="F8" s="161"/>
      <c r="G8" s="94"/>
      <c r="H8" s="166" t="str">
        <f t="shared" si="1"/>
        <v/>
      </c>
      <c r="I8" s="166" t="str">
        <f>IF(F8="","",(SUM(G3*F8)))</f>
        <v/>
      </c>
      <c r="J8" s="164" t="str">
        <f t="shared" si="2"/>
        <v/>
      </c>
    </row>
    <row r="9">
      <c r="A9" s="61"/>
      <c r="B9" s="155"/>
      <c r="C9" s="61"/>
      <c r="D9" s="61"/>
      <c r="E9" s="150"/>
      <c r="F9" s="150"/>
      <c r="G9" s="61"/>
      <c r="H9" s="168" t="str">
        <f t="shared" si="1"/>
        <v/>
      </c>
      <c r="I9" s="168" t="str">
        <f>IF(F9="","",(SUM(G3*F9)))</f>
        <v/>
      </c>
      <c r="J9" s="159" t="str">
        <f t="shared" si="2"/>
        <v/>
      </c>
    </row>
    <row r="10">
      <c r="A10" s="138"/>
      <c r="B10" s="160"/>
      <c r="C10" s="138"/>
      <c r="D10" s="138"/>
      <c r="E10" s="161"/>
      <c r="F10" s="161"/>
      <c r="G10" s="138"/>
      <c r="H10" s="166" t="str">
        <f t="shared" si="1"/>
        <v/>
      </c>
      <c r="I10" s="166" t="str">
        <f>IF(F10="","",(SUM(G3*F10)))</f>
        <v/>
      </c>
      <c r="J10" s="164" t="str">
        <f t="shared" si="2"/>
        <v/>
      </c>
    </row>
    <row r="12">
      <c r="A12" s="39" t="s">
        <v>209</v>
      </c>
    </row>
    <row r="13">
      <c r="A13" s="152" t="s">
        <v>146</v>
      </c>
      <c r="B13" s="153" t="s">
        <v>147</v>
      </c>
      <c r="C13" s="152" t="s">
        <v>148</v>
      </c>
      <c r="D13" s="152" t="s">
        <v>149</v>
      </c>
      <c r="E13" s="153" t="s">
        <v>150</v>
      </c>
      <c r="F13" s="154" t="s">
        <v>112</v>
      </c>
      <c r="G13" s="153" t="s">
        <v>151</v>
      </c>
      <c r="H13" s="153" t="s">
        <v>173</v>
      </c>
      <c r="I13" s="153" t="s">
        <v>113</v>
      </c>
      <c r="J13" s="153" t="s">
        <v>154</v>
      </c>
    </row>
    <row r="14">
      <c r="A14" s="51"/>
      <c r="B14" s="155">
        <v>45749.0</v>
      </c>
      <c r="C14" s="51" t="s">
        <v>46</v>
      </c>
      <c r="D14" s="51">
        <v>5320.5</v>
      </c>
      <c r="E14" s="150">
        <v>0.0</v>
      </c>
      <c r="F14" s="150">
        <f>D14-E14</f>
        <v>5320.5</v>
      </c>
      <c r="G14" s="156">
        <v>7600.0</v>
      </c>
      <c r="H14" s="158">
        <f>IF(E14="","",(SUM($G$3*E14)))</f>
        <v>0</v>
      </c>
      <c r="I14" s="158">
        <f>F14*G14</f>
        <v>40435800</v>
      </c>
      <c r="J14" s="159" t="str">
        <f>IF(OR(D14="",E14=""),"",IF(F14&lt;=0,"Closed","Open"))</f>
        <v>Open</v>
      </c>
    </row>
    <row r="15">
      <c r="A15" s="94"/>
      <c r="B15" s="160"/>
      <c r="C15" s="94"/>
      <c r="D15" s="94"/>
      <c r="E15" s="161">
        <v>5320.5</v>
      </c>
      <c r="F15" s="161">
        <f>E15-D14</f>
        <v>0</v>
      </c>
      <c r="G15" s="94"/>
      <c r="H15" s="163">
        <f>IF(E15="","",(SUM(G14*E15)))</f>
        <v>40435800</v>
      </c>
      <c r="I15" s="163">
        <f>IF(F15="","",(SUM(G14*F15)))</f>
        <v>0</v>
      </c>
      <c r="J15" s="164" t="str">
        <f t="shared" ref="J15:J21" si="3">IF(OR(F15="",E15=""),"",IF(F15&lt;=0,"Closed","Open"))</f>
        <v>Closed</v>
      </c>
    </row>
    <row r="16">
      <c r="A16" s="61"/>
      <c r="B16" s="155"/>
      <c r="C16" s="61"/>
      <c r="D16" s="61"/>
      <c r="E16" s="150"/>
      <c r="F16" s="150"/>
      <c r="G16" s="61"/>
      <c r="H16" s="168" t="str">
        <f t="shared" ref="H16:H21" si="4">IF(E16="","",(SUM(#REF!*E16)))</f>
        <v/>
      </c>
      <c r="I16" s="168" t="str">
        <f>IF(F16="","",(SUM(G14*F16)))</f>
        <v/>
      </c>
      <c r="J16" s="159" t="str">
        <f t="shared" si="3"/>
        <v/>
      </c>
    </row>
    <row r="17">
      <c r="A17" s="94"/>
      <c r="B17" s="160"/>
      <c r="C17" s="94"/>
      <c r="D17" s="94"/>
      <c r="E17" s="161"/>
      <c r="F17" s="161"/>
      <c r="G17" s="94"/>
      <c r="H17" s="166" t="str">
        <f t="shared" si="4"/>
        <v/>
      </c>
      <c r="I17" s="166" t="str">
        <f>IF(F17="","",(SUM(G14*F17)))</f>
        <v/>
      </c>
      <c r="J17" s="164" t="str">
        <f t="shared" si="3"/>
        <v/>
      </c>
    </row>
    <row r="18">
      <c r="A18" s="61"/>
      <c r="B18" s="155"/>
      <c r="C18" s="61"/>
      <c r="D18" s="61"/>
      <c r="E18" s="150"/>
      <c r="F18" s="150"/>
      <c r="G18" s="61"/>
      <c r="H18" s="168" t="str">
        <f t="shared" si="4"/>
        <v/>
      </c>
      <c r="I18" s="168" t="str">
        <f>IF(F18="","",(SUM(G14*F18)))</f>
        <v/>
      </c>
      <c r="J18" s="159" t="str">
        <f t="shared" si="3"/>
        <v/>
      </c>
    </row>
    <row r="19">
      <c r="A19" s="94"/>
      <c r="B19" s="160"/>
      <c r="C19" s="94"/>
      <c r="D19" s="94"/>
      <c r="E19" s="161"/>
      <c r="F19" s="161"/>
      <c r="G19" s="94"/>
      <c r="H19" s="166" t="str">
        <f t="shared" si="4"/>
        <v/>
      </c>
      <c r="I19" s="166" t="str">
        <f>IF(F19="","",(SUM(G14*F19)))</f>
        <v/>
      </c>
      <c r="J19" s="164" t="str">
        <f t="shared" si="3"/>
        <v/>
      </c>
    </row>
    <row r="20">
      <c r="A20" s="61"/>
      <c r="B20" s="155"/>
      <c r="C20" s="61"/>
      <c r="D20" s="61"/>
      <c r="E20" s="150"/>
      <c r="F20" s="150"/>
      <c r="G20" s="61"/>
      <c r="H20" s="168" t="str">
        <f t="shared" si="4"/>
        <v/>
      </c>
      <c r="I20" s="168" t="str">
        <f>IF(F20="","",(SUM(G14*F20)))</f>
        <v/>
      </c>
      <c r="J20" s="159" t="str">
        <f t="shared" si="3"/>
        <v/>
      </c>
    </row>
    <row r="21">
      <c r="A21" s="138"/>
      <c r="B21" s="160"/>
      <c r="C21" s="138"/>
      <c r="D21" s="138"/>
      <c r="E21" s="161"/>
      <c r="F21" s="161"/>
      <c r="G21" s="138"/>
      <c r="H21" s="166" t="str">
        <f t="shared" si="4"/>
        <v/>
      </c>
      <c r="I21" s="166" t="str">
        <f>IF(F21="","",(SUM(G14*F21)))</f>
        <v/>
      </c>
      <c r="J21" s="164" t="str">
        <f t="shared" si="3"/>
        <v/>
      </c>
    </row>
  </sheetData>
  <mergeCells count="10">
    <mergeCell ref="C14:C21"/>
    <mergeCell ref="D14:D21"/>
    <mergeCell ref="A1:J1"/>
    <mergeCell ref="A3:A10"/>
    <mergeCell ref="C3:C10"/>
    <mergeCell ref="D3:D10"/>
    <mergeCell ref="G3:G10"/>
    <mergeCell ref="A12:J12"/>
    <mergeCell ref="A14:A21"/>
    <mergeCell ref="G14:G21"/>
  </mergeCells>
  <conditionalFormatting sqref="H3:J10 H14:J21">
    <cfRule type="cellIs" dxfId="6" priority="1" operator="equal">
      <formula>"Open"</formula>
    </cfRule>
  </conditionalFormatting>
  <conditionalFormatting sqref="H3:J10 H14:J21">
    <cfRule type="cellIs" dxfId="7" priority="2" operator="equal">
      <formula>"Closed"</formula>
    </cfRule>
  </conditionalFormatting>
  <drawing r:id="rId1"/>
</worksheet>
</file>